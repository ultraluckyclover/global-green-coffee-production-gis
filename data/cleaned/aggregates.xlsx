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gregates" sheetId="1" r:id="rId5"/>
  </sheets>
  <definedNames/>
  <calcPr/>
</workbook>
</file>

<file path=xl/sharedStrings.xml><?xml version="1.0" encoding="utf-8"?>
<sst xmlns="http://schemas.openxmlformats.org/spreadsheetml/2006/main" count="263" uniqueCount="96">
  <si>
    <t>Production by year</t>
  </si>
  <si>
    <t>Production by entity</t>
  </si>
  <si>
    <t>tonnes</t>
  </si>
  <si>
    <t>Production by continent</t>
  </si>
  <si>
    <t>Entity (sorted)</t>
  </si>
  <si>
    <t>Continent (sorted)</t>
  </si>
  <si>
    <t>Production in 1976 - dimension</t>
  </si>
  <si>
    <t>Production for each entity in 1976</t>
  </si>
  <si>
    <t>Belize</t>
  </si>
  <si>
    <t>Asia</t>
  </si>
  <si>
    <t>Colombia</t>
  </si>
  <si>
    <t>Year of least production</t>
  </si>
  <si>
    <t>Benin</t>
  </si>
  <si>
    <t>North America</t>
  </si>
  <si>
    <t>Vietnam</t>
  </si>
  <si>
    <t>Africa</t>
  </si>
  <si>
    <t>Bolivia</t>
  </si>
  <si>
    <t>Europe</t>
  </si>
  <si>
    <t>Indonesia</t>
  </si>
  <si>
    <t>Brazil</t>
  </si>
  <si>
    <t>South America</t>
  </si>
  <si>
    <t>Ethiopia</t>
  </si>
  <si>
    <t>Burundi</t>
  </si>
  <si>
    <t>Mexico</t>
  </si>
  <si>
    <t>Cambodia</t>
  </si>
  <si>
    <t>Guatemala</t>
  </si>
  <si>
    <t>Cameroon</t>
  </si>
  <si>
    <t>Uganda</t>
  </si>
  <si>
    <t>Cape Verde</t>
  </si>
  <si>
    <t>India</t>
  </si>
  <si>
    <t>Central African Republic</t>
  </si>
  <si>
    <t>Cote d'Ivoire</t>
  </si>
  <si>
    <t>China</t>
  </si>
  <si>
    <t>Honduras</t>
  </si>
  <si>
    <t>Peru</t>
  </si>
  <si>
    <t>Comoros</t>
  </si>
  <si>
    <t>El Salvador</t>
  </si>
  <si>
    <t>Congo</t>
  </si>
  <si>
    <t>Costa Rica</t>
  </si>
  <si>
    <t>Cook Islands</t>
  </si>
  <si>
    <t>Philippines</t>
  </si>
  <si>
    <t>Madagascar</t>
  </si>
  <si>
    <t>Cuba</t>
  </si>
  <si>
    <t>Nicaragua</t>
  </si>
  <si>
    <t>Democratic Republic of Congo</t>
  </si>
  <si>
    <t>Ecuador</t>
  </si>
  <si>
    <t>Dominica</t>
  </si>
  <si>
    <t>Kenya</t>
  </si>
  <si>
    <t>Dominican Republic</t>
  </si>
  <si>
    <t>East Timor</t>
  </si>
  <si>
    <t>Venezuela</t>
  </si>
  <si>
    <t>Angola</t>
  </si>
  <si>
    <t>Tanzania</t>
  </si>
  <si>
    <t>Equatorial Guinea</t>
  </si>
  <si>
    <t>Guinea</t>
  </si>
  <si>
    <t>Papua New Guinea</t>
  </si>
  <si>
    <t>Fiji</t>
  </si>
  <si>
    <t>Gabon</t>
  </si>
  <si>
    <t>Laos</t>
  </si>
  <si>
    <t>Ghana</t>
  </si>
  <si>
    <t>Guadeloupe</t>
  </si>
  <si>
    <t>Thailand</t>
  </si>
  <si>
    <t>Guyana</t>
  </si>
  <si>
    <t>Haiti</t>
  </si>
  <si>
    <t>Rwanda</t>
  </si>
  <si>
    <t>Sierra Leone</t>
  </si>
  <si>
    <t>Jamaica</t>
  </si>
  <si>
    <t>Togo</t>
  </si>
  <si>
    <t>Yemen</t>
  </si>
  <si>
    <t>Puerto Rico</t>
  </si>
  <si>
    <t>Liberia</t>
  </si>
  <si>
    <t>Panama</t>
  </si>
  <si>
    <t>Sri Lanka</t>
  </si>
  <si>
    <t>Malawi</t>
  </si>
  <si>
    <t>Martinique</t>
  </si>
  <si>
    <t>Paraguay</t>
  </si>
  <si>
    <t>Mauritius</t>
  </si>
  <si>
    <t>Zimbabwe</t>
  </si>
  <si>
    <t>Mozambique</t>
  </si>
  <si>
    <t>Myanmar</t>
  </si>
  <si>
    <t>Nepal</t>
  </si>
  <si>
    <t>New Caledonia</t>
  </si>
  <si>
    <t>Zambia</t>
  </si>
  <si>
    <t>Nigeria</t>
  </si>
  <si>
    <t>United States</t>
  </si>
  <si>
    <t>Trinidad and Tobago</t>
  </si>
  <si>
    <t>Saint Lucia</t>
  </si>
  <si>
    <t>Saint Vincent and the Grenadines</t>
  </si>
  <si>
    <t>Samoa</t>
  </si>
  <si>
    <t>Sao Tome and Principe</t>
  </si>
  <si>
    <t>Saudi Arabia</t>
  </si>
  <si>
    <t>Taiwan</t>
  </si>
  <si>
    <t>Spain</t>
  </si>
  <si>
    <t>Suriname</t>
  </si>
  <si>
    <t>Vanuatu</t>
  </si>
  <si>
    <t>Tonga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</si>
</sst>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EAECF0"/>
      <name val="Var(--font-mono)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Border="1" applyFont="1"/>
    <xf borderId="2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3" fillId="0" fontId="1" numFmtId="0" xfId="0" applyBorder="1" applyFont="1"/>
    <xf borderId="4" fillId="0" fontId="1" numFmtId="0" xfId="0" applyBorder="1" applyFont="1"/>
    <xf borderId="4" fillId="0" fontId="1" numFmtId="0" xfId="0" applyBorder="1" applyFont="1"/>
    <xf borderId="0" fillId="0" fontId="1" numFmtId="0" xfId="0" applyFont="1"/>
    <xf borderId="5" fillId="0" fontId="1" numFmtId="0" xfId="0" applyBorder="1" applyFont="1"/>
    <xf borderId="6" fillId="0" fontId="1" numFmtId="0" xfId="0" applyBorder="1" applyFont="1"/>
    <xf borderId="6" fillId="0" fontId="1" numFmtId="0" xfId="0" applyBorder="1" applyFont="1"/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15.0"/>
    <col customWidth="1" min="5" max="5" width="26.0"/>
    <col customWidth="1" min="6" max="6" width="13.88"/>
    <col customWidth="1" min="7" max="7" width="18.5"/>
    <col customWidth="1" min="9" max="9" width="18.88"/>
    <col customWidth="1" min="10" max="10" width="26.0"/>
    <col customWidth="1" min="12" max="12" width="26.13"/>
    <col customWidth="1" min="14" max="14" width="20.25"/>
    <col customWidth="1" min="15" max="15" width="18.13"/>
    <col customWidth="1" min="16" max="16" width="6.38"/>
    <col customWidth="1" min="17" max="17" width="26.25"/>
    <col customWidth="1" min="18" max="18" width="7.5"/>
    <col customWidth="1" min="20" max="20" width="12.0"/>
    <col customWidth="1" min="21" max="21" width="22.88"/>
    <col customWidth="1" min="23" max="23" width="26.0"/>
  </cols>
  <sheetData>
    <row r="1">
      <c r="B1" s="1" t="s">
        <v>0</v>
      </c>
      <c r="C1" s="2"/>
      <c r="E1" s="1" t="s">
        <v>1</v>
      </c>
      <c r="F1" s="3" t="s">
        <v>2</v>
      </c>
      <c r="G1" s="1" t="s">
        <v>3</v>
      </c>
      <c r="H1" s="4" t="s">
        <v>2</v>
      </c>
      <c r="J1" s="1" t="s">
        <v>4</v>
      </c>
      <c r="K1" s="4" t="s">
        <v>2</v>
      </c>
      <c r="L1" s="1" t="s">
        <v>5</v>
      </c>
      <c r="M1" s="4" t="s">
        <v>2</v>
      </c>
      <c r="T1" s="5"/>
      <c r="U1" s="5"/>
      <c r="V1" s="5"/>
      <c r="Y1" s="5" t="s">
        <v>6</v>
      </c>
    </row>
    <row r="2">
      <c r="B2" s="6"/>
      <c r="C2" s="7"/>
      <c r="E2" s="6" t="str">
        <f t="array" ref="E2:E83">XLOOKUP(dimension!B2:B83, dimension!B2:B83, dimension!B2:B83)</f>
        <v>Angola</v>
      </c>
      <c r="F2" s="8">
        <f t="array" ref="F2:F83">SUMIF(cleaned!B2:B7522, dimension!A2:A83, cleaned!D2:D7522)</f>
        <v>3661881.46</v>
      </c>
      <c r="G2" s="6" t="str">
        <f t="array" ref="G2:G6">XLOOKUP(extra!B2:B6,extra!B2:B6,extra!B2:B6)</f>
        <v>Africa</v>
      </c>
      <c r="H2" s="7">
        <f t="array" ref="H2:H6">SUMIF(cleaned!A2:A7522,G2:G6,cleaned!D2:D7522)</f>
        <v>79298582.91</v>
      </c>
      <c r="J2" s="6" t="str">
        <f t="array" ref="J2:K7522">SORT(HSTACK(E2:E7522,F2:F7522),2,FALSE)</f>
        <v>Brazil</v>
      </c>
      <c r="K2" s="8">
        <v>1.23792215E8</v>
      </c>
      <c r="L2" s="6" t="str">
        <f t="array" ref="L2:M7522">SORT(HSTACK(G2:G7522,H2:H7522),2,FALSE)</f>
        <v>South America</v>
      </c>
      <c r="M2" s="8">
        <v>1.860732518E8</v>
      </c>
      <c r="Q2" s="5" t="s">
        <v>7</v>
      </c>
      <c r="T2" s="9" t="str">
        <f>IFERROR(__xludf.DUMMYFUNCTION("QUERY(cleaned!A2:D7522, ""select C, sum(D) where B = 'BRA' group by C,D label C 'Year', sum(D) 'Brazil'"", 1)"),"Year")</f>
        <v>Year</v>
      </c>
      <c r="U2" s="9" t="str">
        <f>IFERROR(__xludf.DUMMYFUNCTION("""COMPUTED_VALUE"""),"Brazil")</f>
        <v>Brazil</v>
      </c>
      <c r="V2" s="9" t="str">
        <f>IFERROR(__xludf.DUMMYFUNCTION("QUERY(cleaned!A2:D7522, ""select sum(D) where B = 'BRA' group by D label sum(D) 'South America'"", 1)"),"South America")</f>
        <v>South America</v>
      </c>
      <c r="Y2" s="9" t="str">
        <f t="array" ref="Y2:Y83">XLOOKUP(dimension!B2:B83, dimension!B2:B83, dimension!B2:B83)</f>
        <v>Angola</v>
      </c>
      <c r="Z2" s="9">
        <f t="array" ref="Z2">SUMIFS(cleaned!D2:D7522, cleaned!B2:B7522, dimension!A2:A83, cleaned!C2:C7522, 1976)</f>
        <v>57480</v>
      </c>
    </row>
    <row r="3">
      <c r="B3" s="6" t="str">
        <f>IFERROR(__xludf.DUMMYFUNCTION("QUERY(cleaned!C2:D7522, ""select C, sum(D) group by C"")"),"")</f>
        <v/>
      </c>
      <c r="C3" s="7" t="str">
        <f>IFERROR(__xludf.DUMMYFUNCTION("""COMPUTED_VALUE"""),"sum ")</f>
        <v>sum </v>
      </c>
      <c r="E3" s="6" t="s">
        <v>8</v>
      </c>
      <c r="F3" s="8">
        <v>2974.9100000000008</v>
      </c>
      <c r="G3" s="6" t="s">
        <v>9</v>
      </c>
      <c r="H3" s="7">
        <v>9.179935161E7</v>
      </c>
      <c r="J3" s="6" t="s">
        <v>10</v>
      </c>
      <c r="K3" s="8">
        <v>4.211183334E7</v>
      </c>
      <c r="L3" s="6" t="s">
        <v>9</v>
      </c>
      <c r="M3" s="8">
        <v>9.179935161E7</v>
      </c>
      <c r="O3" s="5" t="s">
        <v>11</v>
      </c>
      <c r="P3" s="9">
        <f t="array" ref="P3">XLOOKUP(MIN(categories!C261:C324),categories!C261:C324,categories!B261:B324)</f>
        <v>1976</v>
      </c>
      <c r="Q3" s="9" t="str">
        <f>IFERROR(__xludf.DUMMYFUNCTION("SORT(QUERY(cleaned!A2:D7522,""select A, sum(D) where C = 1976 group by A, C""),2, FALSE)"),"")</f>
        <v/>
      </c>
      <c r="R3" s="9" t="str">
        <f>IFERROR(__xludf.DUMMYFUNCTION("""COMPUTED_VALUE"""),"sum ")</f>
        <v>sum </v>
      </c>
      <c r="T3" s="9">
        <f>IFERROR(__xludf.DUMMYFUNCTION("""COMPUTED_VALUE"""),1961.0)</f>
        <v>1961</v>
      </c>
      <c r="U3" s="9">
        <f>IFERROR(__xludf.DUMMYFUNCTION("""COMPUTED_VALUE"""),2228704.0)</f>
        <v>2228704</v>
      </c>
      <c r="V3" s="9">
        <f>IFERROR(__xludf.DUMMYFUNCTION("""COMPUTED_VALUE"""),375985.0)</f>
        <v>375985</v>
      </c>
      <c r="Y3" s="9" t="s">
        <v>8</v>
      </c>
      <c r="Z3" s="9">
        <f t="array" ref="Z3">SUMIFS(cleaned!D3:D7522, cleaned!B3:B7522, dimension!A3:A84, cleaned!C3:C7522, 1976)</f>
        <v>0</v>
      </c>
    </row>
    <row r="4">
      <c r="B4" s="6"/>
      <c r="C4" s="7"/>
      <c r="E4" s="6" t="s">
        <v>12</v>
      </c>
      <c r="F4" s="8">
        <v>39267.640000000014</v>
      </c>
      <c r="G4" s="6" t="s">
        <v>13</v>
      </c>
      <c r="H4" s="7">
        <v>6.474689714999998E7</v>
      </c>
      <c r="J4" s="6" t="s">
        <v>14</v>
      </c>
      <c r="K4" s="8">
        <v>3.57434366E7</v>
      </c>
      <c r="L4" s="6" t="s">
        <v>15</v>
      </c>
      <c r="M4" s="8">
        <v>7.929858290999997E7</v>
      </c>
      <c r="Q4" s="9" t="str">
        <f>IFERROR(__xludf.DUMMYFUNCTION("""COMPUTED_VALUE"""),"Africa")</f>
        <v>Africa</v>
      </c>
      <c r="R4" s="9">
        <f>IFERROR(__xludf.DUMMYFUNCTION("""COMPUTED_VALUE"""),1165512.0)</f>
        <v>1165512</v>
      </c>
      <c r="T4" s="9">
        <f>IFERROR(__xludf.DUMMYFUNCTION("""COMPUTED_VALUE"""),1962.0)</f>
        <v>1962</v>
      </c>
      <c r="U4" s="9">
        <f>IFERROR(__xludf.DUMMYFUNCTION("""COMPUTED_VALUE"""),2190303.0)</f>
        <v>2190303</v>
      </c>
      <c r="V4" s="9">
        <f>IFERROR(__xludf.DUMMYFUNCTION("""COMPUTED_VALUE"""),754800.0)</f>
        <v>754800</v>
      </c>
      <c r="Y4" s="9" t="s">
        <v>12</v>
      </c>
      <c r="Z4" s="9">
        <f t="array" ref="Z4">SUMIFS(cleaned!D4:D7522, cleaned!B4:B7522, dimension!A4:A85, cleaned!C4:C7522, 1976)</f>
        <v>599</v>
      </c>
    </row>
    <row r="5">
      <c r="B5" s="6">
        <f>IFERROR(__xludf.DUMMYFUNCTION("""COMPUTED_VALUE"""),1961.0)</f>
        <v>1961</v>
      </c>
      <c r="C5" s="7">
        <f>IFERROR(__xludf.DUMMYFUNCTION("""COMPUTED_VALUE"""),9060993.0)</f>
        <v>9060993</v>
      </c>
      <c r="E5" s="6" t="s">
        <v>16</v>
      </c>
      <c r="F5" s="8">
        <v>1246437.26</v>
      </c>
      <c r="G5" s="6" t="s">
        <v>17</v>
      </c>
      <c r="H5" s="7">
        <v>207.0</v>
      </c>
      <c r="J5" s="6" t="s">
        <v>18</v>
      </c>
      <c r="K5" s="8">
        <v>2.82240945E7</v>
      </c>
      <c r="L5" s="6" t="s">
        <v>13</v>
      </c>
      <c r="M5" s="8">
        <v>6.474689714999998E7</v>
      </c>
      <c r="Q5" s="9" t="str">
        <f>IFERROR(__xludf.DUMMYFUNCTION("""COMPUTED_VALUE"""),"South America")</f>
        <v>South America</v>
      </c>
      <c r="R5" s="9">
        <f>IFERROR(__xludf.DUMMYFUNCTION("""COMPUTED_VALUE"""),1071431.0)</f>
        <v>1071431</v>
      </c>
      <c r="T5" s="9">
        <f>IFERROR(__xludf.DUMMYFUNCTION("""COMPUTED_VALUE"""),1963.0)</f>
        <v>1963</v>
      </c>
      <c r="U5" s="9">
        <f>IFERROR(__xludf.DUMMYFUNCTION("""COMPUTED_VALUE"""),1650527.0)</f>
        <v>1650527</v>
      </c>
      <c r="V5" s="9">
        <f>IFERROR(__xludf.DUMMYFUNCTION("""COMPUTED_VALUE"""),872897.0)</f>
        <v>872897</v>
      </c>
      <c r="W5" s="5"/>
      <c r="Y5" s="9" t="s">
        <v>16</v>
      </c>
      <c r="Z5" s="9">
        <f t="array" ref="Z5">SUMIFS(cleaned!D5:D7522, cleaned!B5:B7522, dimension!A5:A86, cleaned!C5:C7522, 1976)</f>
        <v>14664</v>
      </c>
    </row>
    <row r="6">
      <c r="B6" s="6">
        <f>IFERROR(__xludf.DUMMYFUNCTION("""COMPUTED_VALUE"""),1962.0)</f>
        <v>1962</v>
      </c>
      <c r="C6" s="7">
        <f>IFERROR(__xludf.DUMMYFUNCTION("""COMPUTED_VALUE"""),9175614.0)</f>
        <v>9175614</v>
      </c>
      <c r="E6" s="6" t="s">
        <v>19</v>
      </c>
      <c r="F6" s="8">
        <v>1.23792215E8</v>
      </c>
      <c r="G6" s="10" t="s">
        <v>20</v>
      </c>
      <c r="H6" s="11">
        <v>1.860732518E8</v>
      </c>
      <c r="J6" s="6" t="s">
        <v>21</v>
      </c>
      <c r="K6" s="8">
        <v>1.677486716E7</v>
      </c>
      <c r="L6" s="10" t="s">
        <v>17</v>
      </c>
      <c r="M6" s="12">
        <v>207.0</v>
      </c>
      <c r="Q6" s="9" t="str">
        <f>IFERROR(__xludf.DUMMYFUNCTION("""COMPUTED_VALUE"""),"North America")</f>
        <v>North America</v>
      </c>
      <c r="R6" s="9">
        <f>IFERROR(__xludf.DUMMYFUNCTION("""COMPUTED_VALUE"""),834112.0)</f>
        <v>834112</v>
      </c>
      <c r="T6" s="9">
        <f>IFERROR(__xludf.DUMMYFUNCTION("""COMPUTED_VALUE"""),1964.0)</f>
        <v>1964</v>
      </c>
      <c r="U6" s="9">
        <f>IFERROR(__xludf.DUMMYFUNCTION("""COMPUTED_VALUE"""),1042013.0)</f>
        <v>1042013</v>
      </c>
      <c r="V6" s="9">
        <f>IFERROR(__xludf.DUMMYFUNCTION("""COMPUTED_VALUE"""),930135.0)</f>
        <v>930135</v>
      </c>
      <c r="Y6" s="9" t="s">
        <v>19</v>
      </c>
      <c r="Z6" s="9">
        <f t="array" ref="Z6">SUMIFS(cleaned!D6:D7522, cleaned!B6:B7522, dimension!A6:A87, cleaned!C6:C7522, 1976)</f>
        <v>375985</v>
      </c>
    </row>
    <row r="7" ht="17.25" customHeight="1">
      <c r="B7" s="6">
        <f>IFERROR(__xludf.DUMMYFUNCTION("""COMPUTED_VALUE"""),1963.0)</f>
        <v>1963</v>
      </c>
      <c r="C7" s="7">
        <f>IFERROR(__xludf.DUMMYFUNCTION("""COMPUTED_VALUE"""),8312263.0)</f>
        <v>8312263</v>
      </c>
      <c r="E7" s="6" t="s">
        <v>22</v>
      </c>
      <c r="F7" s="8">
        <v>2162310.46</v>
      </c>
      <c r="J7" s="6" t="s">
        <v>23</v>
      </c>
      <c r="K7" s="8">
        <v>1.594490667E7</v>
      </c>
      <c r="L7" s="9"/>
      <c r="M7" s="13"/>
      <c r="Q7" s="9" t="str">
        <f>IFERROR(__xludf.DUMMYFUNCTION("""COMPUTED_VALUE"""),"Colombia")</f>
        <v>Colombia</v>
      </c>
      <c r="R7" s="9">
        <f>IFERROR(__xludf.DUMMYFUNCTION("""COMPUTED_VALUE"""),483000.0)</f>
        <v>483000</v>
      </c>
      <c r="T7" s="9">
        <f>IFERROR(__xludf.DUMMYFUNCTION("""COMPUTED_VALUE"""),1965.0)</f>
        <v>1965</v>
      </c>
      <c r="U7" s="9">
        <f>IFERROR(__xludf.DUMMYFUNCTION("""COMPUTED_VALUE"""),2294047.0)</f>
        <v>2294047</v>
      </c>
      <c r="V7" s="9">
        <f>IFERROR(__xludf.DUMMYFUNCTION("""COMPUTED_VALUE"""),957931.0)</f>
        <v>957931</v>
      </c>
      <c r="X7" s="14"/>
      <c r="Y7" s="9" t="s">
        <v>22</v>
      </c>
      <c r="Z7" s="9">
        <f t="array" ref="Z7">SUMIFS(cleaned!D7:D7522, cleaned!B7:B7522, dimension!A7:A88, cleaned!C7:C7522, 1976)</f>
        <v>21428</v>
      </c>
    </row>
    <row r="8">
      <c r="B8" s="6">
        <f>IFERROR(__xludf.DUMMYFUNCTION("""COMPUTED_VALUE"""),1964.0)</f>
        <v>1964</v>
      </c>
      <c r="C8" s="7">
        <f>IFERROR(__xludf.DUMMYFUNCTION("""COMPUTED_VALUE"""),7549247.0)</f>
        <v>7549247</v>
      </c>
      <c r="E8" s="6" t="s">
        <v>24</v>
      </c>
      <c r="F8" s="8">
        <v>17504.14</v>
      </c>
      <c r="J8" s="6" t="s">
        <v>25</v>
      </c>
      <c r="K8" s="8">
        <v>1.279194274E7</v>
      </c>
      <c r="L8" s="9"/>
      <c r="M8" s="13"/>
      <c r="Q8" s="9" t="str">
        <f>IFERROR(__xludf.DUMMYFUNCTION("""COMPUTED_VALUE"""),"Asia")</f>
        <v>Asia</v>
      </c>
      <c r="R8" s="9">
        <f>IFERROR(__xludf.DUMMYFUNCTION("""COMPUTED_VALUE"""),410280.0)</f>
        <v>410280</v>
      </c>
      <c r="T8" s="9">
        <f>IFERROR(__xludf.DUMMYFUNCTION("""COMPUTED_VALUE"""),1966.0)</f>
        <v>1966</v>
      </c>
      <c r="U8" s="9">
        <f>IFERROR(__xludf.DUMMYFUNCTION("""COMPUTED_VALUE"""),1202868.0)</f>
        <v>1202868</v>
      </c>
      <c r="V8" s="9">
        <f>IFERROR(__xludf.DUMMYFUNCTION("""COMPUTED_VALUE"""),975385.0)</f>
        <v>975385</v>
      </c>
      <c r="Y8" s="9" t="s">
        <v>24</v>
      </c>
      <c r="Z8" s="9">
        <f t="array" ref="Z8">SUMIFS(cleaned!D8:D7522, cleaned!B8:B7522, dimension!A8:A89, cleaned!C8:C7522, 1976)</f>
        <v>90</v>
      </c>
    </row>
    <row r="9">
      <c r="B9" s="6">
        <f>IFERROR(__xludf.DUMMYFUNCTION("""COMPUTED_VALUE"""),1965.0)</f>
        <v>1965</v>
      </c>
      <c r="C9" s="7">
        <f>IFERROR(__xludf.DUMMYFUNCTION("""COMPUTED_VALUE"""),9975063.0)</f>
        <v>9975063</v>
      </c>
      <c r="E9" s="6" t="s">
        <v>26</v>
      </c>
      <c r="F9" s="8">
        <v>4667182.4</v>
      </c>
      <c r="J9" s="6" t="s">
        <v>27</v>
      </c>
      <c r="K9" s="8">
        <v>1.2696994E7</v>
      </c>
      <c r="L9" s="9"/>
      <c r="M9" s="13"/>
      <c r="Q9" s="9" t="str">
        <f>IFERROR(__xludf.DUMMYFUNCTION("""COMPUTED_VALUE"""),"Brazil")</f>
        <v>Brazil</v>
      </c>
      <c r="R9" s="9">
        <f>IFERROR(__xludf.DUMMYFUNCTION("""COMPUTED_VALUE"""),375985.0)</f>
        <v>375985</v>
      </c>
      <c r="T9" s="9">
        <f>IFERROR(__xludf.DUMMYFUNCTION("""COMPUTED_VALUE"""),1967.0)</f>
        <v>1967</v>
      </c>
      <c r="U9" s="9">
        <f>IFERROR(__xludf.DUMMYFUNCTION("""COMPUTED_VALUE"""),1507500.0)</f>
        <v>1507500</v>
      </c>
      <c r="V9" s="9">
        <f>IFERROR(__xludf.DUMMYFUNCTION("""COMPUTED_VALUE"""),1041406.0)</f>
        <v>1041406</v>
      </c>
      <c r="Y9" s="9" t="s">
        <v>26</v>
      </c>
      <c r="Z9" s="9">
        <f t="array" ref="Z9">SUMIFS(cleaned!D9:D7522, cleaned!B9:B7522, dimension!A9:A90, cleaned!C9:C7522, 1976)</f>
        <v>79599</v>
      </c>
    </row>
    <row r="10">
      <c r="B10" s="6">
        <f>IFERROR(__xludf.DUMMYFUNCTION("""COMPUTED_VALUE"""),1966.0)</f>
        <v>1966</v>
      </c>
      <c r="C10" s="7">
        <f>IFERROR(__xludf.DUMMYFUNCTION("""COMPUTED_VALUE"""),8118518.0)</f>
        <v>8118518</v>
      </c>
      <c r="E10" s="6" t="s">
        <v>28</v>
      </c>
      <c r="F10" s="8">
        <v>2931.2200000000003</v>
      </c>
      <c r="J10" s="6" t="s">
        <v>29</v>
      </c>
      <c r="K10" s="8">
        <v>1.2584852E7</v>
      </c>
      <c r="L10" s="9"/>
      <c r="M10" s="13"/>
      <c r="Q10" s="9" t="str">
        <f>IFERROR(__xludf.DUMMYFUNCTION("""COMPUTED_VALUE"""),"Cote d'Ivoire")</f>
        <v>Cote d'Ivoire</v>
      </c>
      <c r="R10" s="9">
        <f>IFERROR(__xludf.DUMMYFUNCTION("""COMPUTED_VALUE"""),308400.0)</f>
        <v>308400</v>
      </c>
      <c r="T10" s="9">
        <f>IFERROR(__xludf.DUMMYFUNCTION("""COMPUTED_VALUE"""),1968.0)</f>
        <v>1968</v>
      </c>
      <c r="U10" s="9">
        <f>IFERROR(__xludf.DUMMYFUNCTION("""COMPUTED_VALUE"""),1057700.0)</f>
        <v>1057700</v>
      </c>
      <c r="V10" s="9">
        <f>IFERROR(__xludf.DUMMYFUNCTION("""COMPUTED_VALUE"""),1042013.0)</f>
        <v>1042013</v>
      </c>
      <c r="Y10" s="9" t="s">
        <v>28</v>
      </c>
      <c r="Z10" s="9">
        <f t="array" ref="Z10">SUMIFS(cleaned!D10:D7522, cleaned!B10:B7522, dimension!A10:A91, cleaned!C10:C7522, 1976)</f>
        <v>168</v>
      </c>
    </row>
    <row r="11">
      <c r="B11" s="6">
        <f>IFERROR(__xludf.DUMMYFUNCTION("""COMPUTED_VALUE"""),1967.0)</f>
        <v>1967</v>
      </c>
      <c r="C11" s="7">
        <f>IFERROR(__xludf.DUMMYFUNCTION("""COMPUTED_VALUE"""),8683212.0)</f>
        <v>8683212</v>
      </c>
      <c r="E11" s="6" t="s">
        <v>30</v>
      </c>
      <c r="F11" s="8">
        <v>2477345.51</v>
      </c>
      <c r="J11" s="6" t="s">
        <v>31</v>
      </c>
      <c r="K11" s="8">
        <v>1.255742147E7</v>
      </c>
      <c r="L11" s="9"/>
      <c r="M11" s="13"/>
      <c r="Q11" s="9" t="str">
        <f>IFERROR(__xludf.DUMMYFUNCTION("""COMPUTED_VALUE"""),"Mexico")</f>
        <v>Mexico</v>
      </c>
      <c r="R11" s="9">
        <f>IFERROR(__xludf.DUMMYFUNCTION("""COMPUTED_VALUE"""),212200.0)</f>
        <v>212200</v>
      </c>
      <c r="T11" s="9">
        <f>IFERROR(__xludf.DUMMYFUNCTION("""COMPUTED_VALUE"""),1969.0)</f>
        <v>1969</v>
      </c>
      <c r="U11" s="9">
        <f>IFERROR(__xludf.DUMMYFUNCTION("""COMPUTED_VALUE"""),1283500.0)</f>
        <v>1283500</v>
      </c>
      <c r="V11" s="9">
        <f>IFERROR(__xludf.DUMMYFUNCTION("""COMPUTED_VALUE"""),1057700.0)</f>
        <v>1057700</v>
      </c>
      <c r="Y11" s="9" t="s">
        <v>30</v>
      </c>
      <c r="Z11" s="9">
        <f t="array" ref="Z11">SUMIFS(cleaned!D11:D7522, cleaned!B11:B7522, dimension!A11:A92, cleaned!C11:C7522, 1976)</f>
        <v>13900</v>
      </c>
    </row>
    <row r="12">
      <c r="B12" s="6">
        <f>IFERROR(__xludf.DUMMYFUNCTION("""COMPUTED_VALUE"""),1968.0)</f>
        <v>1968</v>
      </c>
      <c r="C12" s="7">
        <f>IFERROR(__xludf.DUMMYFUNCTION("""COMPUTED_VALUE"""),7888930.0)</f>
        <v>7888930</v>
      </c>
      <c r="E12" s="6" t="s">
        <v>32</v>
      </c>
      <c r="F12" s="8">
        <v>2040412.2699999998</v>
      </c>
      <c r="J12" s="6" t="s">
        <v>33</v>
      </c>
      <c r="K12" s="8">
        <v>1.033233671E7</v>
      </c>
      <c r="L12" s="9"/>
      <c r="M12" s="13"/>
      <c r="Q12" s="9" t="str">
        <f>IFERROR(__xludf.DUMMYFUNCTION("""COMPUTED_VALUE"""),"Indonesia")</f>
        <v>Indonesia</v>
      </c>
      <c r="R12" s="9">
        <f>IFERROR(__xludf.DUMMYFUNCTION("""COMPUTED_VALUE"""),193377.0)</f>
        <v>193377</v>
      </c>
      <c r="T12" s="9">
        <f>IFERROR(__xludf.DUMMYFUNCTION("""COMPUTED_VALUE"""),1970.0)</f>
        <v>1970</v>
      </c>
      <c r="U12" s="9">
        <f>IFERROR(__xludf.DUMMYFUNCTION("""COMPUTED_VALUE"""),754800.0)</f>
        <v>754800</v>
      </c>
      <c r="V12" s="9">
        <f>IFERROR(__xludf.DUMMYFUNCTION("""COMPUTED_VALUE"""),1061195.0)</f>
        <v>1061195</v>
      </c>
      <c r="Y12" s="9" t="s">
        <v>32</v>
      </c>
      <c r="Z12" s="9">
        <f t="array" ref="Z12">SUMIFS(cleaned!D12:D7522, cleaned!B12:B7522, dimension!A12:A93, cleaned!C12:C7522, 1976)</f>
        <v>4000</v>
      </c>
    </row>
    <row r="13">
      <c r="B13" s="6">
        <f>IFERROR(__xludf.DUMMYFUNCTION("""COMPUTED_VALUE"""),1969.0)</f>
        <v>1969</v>
      </c>
      <c r="C13" s="7">
        <f>IFERROR(__xludf.DUMMYFUNCTION("""COMPUTED_VALUE"""),8568392.0)</f>
        <v>8568392</v>
      </c>
      <c r="E13" s="6" t="s">
        <v>10</v>
      </c>
      <c r="F13" s="8">
        <v>4.211183334E7</v>
      </c>
      <c r="J13" s="6" t="s">
        <v>34</v>
      </c>
      <c r="K13" s="8">
        <v>1.0243686799999999E7</v>
      </c>
      <c r="L13" s="9"/>
      <c r="M13" s="13"/>
      <c r="Q13" s="9" t="str">
        <f>IFERROR(__xludf.DUMMYFUNCTION("""COMPUTED_VALUE"""),"Ethiopia")</f>
        <v>Ethiopia</v>
      </c>
      <c r="R13" s="9">
        <f>IFERROR(__xludf.DUMMYFUNCTION("""COMPUTED_VALUE"""),178600.0)</f>
        <v>178600</v>
      </c>
      <c r="T13" s="9">
        <f>IFERROR(__xludf.DUMMYFUNCTION("""COMPUTED_VALUE"""),1971.0)</f>
        <v>1971</v>
      </c>
      <c r="U13" s="9">
        <f>IFERROR(__xludf.DUMMYFUNCTION("""COMPUTED_VALUE"""),1551462.0)</f>
        <v>1551462</v>
      </c>
      <c r="V13" s="9">
        <f>IFERROR(__xludf.DUMMYFUNCTION("""COMPUTED_VALUE"""),1202868.0)</f>
        <v>1202868</v>
      </c>
      <c r="Y13" s="9" t="s">
        <v>10</v>
      </c>
      <c r="Z13" s="9">
        <f t="array" ref="Z13">SUMIFS(cleaned!D13:D7522, cleaned!B13:B7522, dimension!A13:A94, cleaned!C13:C7522, 1976)</f>
        <v>483000</v>
      </c>
    </row>
    <row r="14">
      <c r="B14" s="6">
        <f>IFERROR(__xludf.DUMMYFUNCTION("""COMPUTED_VALUE"""),1970.0)</f>
        <v>1970</v>
      </c>
      <c r="C14" s="7">
        <f>IFERROR(__xludf.DUMMYFUNCTION("""COMPUTED_VALUE"""),7727944.0)</f>
        <v>7727944</v>
      </c>
      <c r="E14" s="6" t="s">
        <v>35</v>
      </c>
      <c r="F14" s="8">
        <v>7237.550000000001</v>
      </c>
      <c r="J14" s="6" t="s">
        <v>36</v>
      </c>
      <c r="K14" s="8">
        <v>7246445.34</v>
      </c>
      <c r="L14" s="9"/>
      <c r="M14" s="13"/>
      <c r="Q14" s="9" t="str">
        <f>IFERROR(__xludf.DUMMYFUNCTION("""COMPUTED_VALUE"""),"Guatemala")</f>
        <v>Guatemala</v>
      </c>
      <c r="R14" s="9">
        <f>IFERROR(__xludf.DUMMYFUNCTION("""COMPUTED_VALUE"""),158433.0)</f>
        <v>158433</v>
      </c>
      <c r="T14" s="9">
        <f>IFERROR(__xludf.DUMMYFUNCTION("""COMPUTED_VALUE"""),1972.0)</f>
        <v>1972</v>
      </c>
      <c r="U14" s="9">
        <f>IFERROR(__xludf.DUMMYFUNCTION("""COMPUTED_VALUE"""),1495705.0)</f>
        <v>1495705</v>
      </c>
      <c r="V14" s="9">
        <f>IFERROR(__xludf.DUMMYFUNCTION("""COMPUTED_VALUE"""),1228513.0)</f>
        <v>1228513</v>
      </c>
      <c r="Y14" s="9" t="s">
        <v>35</v>
      </c>
      <c r="Z14" s="9">
        <f t="array" ref="Z14">SUMIFS(cleaned!D14:D7522, cleaned!B14:B7522, dimension!A14:A95, cleaned!C14:C7522, 1976)</f>
        <v>60</v>
      </c>
    </row>
    <row r="15">
      <c r="B15" s="6">
        <f>IFERROR(__xludf.DUMMYFUNCTION("""COMPUTED_VALUE"""),1971.0)</f>
        <v>1971</v>
      </c>
      <c r="C15" s="7">
        <f>IFERROR(__xludf.DUMMYFUNCTION("""COMPUTED_VALUE"""),9354920.0)</f>
        <v>9354920</v>
      </c>
      <c r="E15" s="6" t="s">
        <v>37</v>
      </c>
      <c r="F15" s="8">
        <v>142309.91999999998</v>
      </c>
      <c r="J15" s="6" t="s">
        <v>38</v>
      </c>
      <c r="K15" s="8">
        <v>6826334.57</v>
      </c>
      <c r="L15" s="9"/>
      <c r="M15" s="13"/>
      <c r="Q15" s="9" t="str">
        <f>IFERROR(__xludf.DUMMYFUNCTION("""COMPUTED_VALUE"""),"El Salvador")</f>
        <v>El Salvador</v>
      </c>
      <c r="R15" s="9">
        <f>IFERROR(__xludf.DUMMYFUNCTION("""COMPUTED_VALUE"""),138690.0)</f>
        <v>138690</v>
      </c>
      <c r="T15" s="9">
        <f>IFERROR(__xludf.DUMMYFUNCTION("""COMPUTED_VALUE"""),1973.0)</f>
        <v>1973</v>
      </c>
      <c r="U15" s="9">
        <f>IFERROR(__xludf.DUMMYFUNCTION("""COMPUTED_VALUE"""),872897.0)</f>
        <v>872897</v>
      </c>
      <c r="V15" s="9">
        <f>IFERROR(__xludf.DUMMYFUNCTION("""COMPUTED_VALUE"""),1267661.0)</f>
        <v>1267661</v>
      </c>
      <c r="Y15" s="9" t="s">
        <v>37</v>
      </c>
      <c r="Z15" s="9">
        <f t="array" ref="Z15">SUMIFS(cleaned!D15:D7522, cleaned!B15:B7522, dimension!A15:A96, cleaned!C15:C7522, 1976)</f>
        <v>2160</v>
      </c>
    </row>
    <row r="16">
      <c r="B16" s="6">
        <f>IFERROR(__xludf.DUMMYFUNCTION("""COMPUTED_VALUE"""),1972.0)</f>
        <v>1972</v>
      </c>
      <c r="C16" s="7">
        <f>IFERROR(__xludf.DUMMYFUNCTION("""COMPUTED_VALUE"""),9171824.0)</f>
        <v>9171824</v>
      </c>
      <c r="E16" s="6" t="s">
        <v>39</v>
      </c>
      <c r="F16" s="8">
        <v>280.37999999999994</v>
      </c>
      <c r="J16" s="6" t="s">
        <v>40</v>
      </c>
      <c r="K16" s="8">
        <v>5852956.01</v>
      </c>
      <c r="L16" s="9"/>
      <c r="M16" s="13"/>
      <c r="Q16" s="9" t="str">
        <f>IFERROR(__xludf.DUMMYFUNCTION("""COMPUTED_VALUE"""),"Uganda")</f>
        <v>Uganda</v>
      </c>
      <c r="R16" s="9">
        <f>IFERROR(__xludf.DUMMYFUNCTION("""COMPUTED_VALUE"""),137100.0)</f>
        <v>137100</v>
      </c>
      <c r="T16" s="9">
        <f>IFERROR(__xludf.DUMMYFUNCTION("""COMPUTED_VALUE"""),1974.0)</f>
        <v>1974</v>
      </c>
      <c r="U16" s="9">
        <f>IFERROR(__xludf.DUMMYFUNCTION("""COMPUTED_VALUE"""),1615309.0)</f>
        <v>1615309</v>
      </c>
      <c r="V16" s="9">
        <f>IFERROR(__xludf.DUMMYFUNCTION("""COMPUTED_VALUE"""),1272298.0)</f>
        <v>1272298</v>
      </c>
      <c r="Y16" s="9" t="s">
        <v>39</v>
      </c>
      <c r="Z16" s="9">
        <f t="array" ref="Z16">SUMIFS(cleaned!D16:D7522, cleaned!B16:B7522, dimension!A16:A97, cleaned!C16:C7522, 1976)</f>
        <v>2</v>
      </c>
    </row>
    <row r="17">
      <c r="B17" s="6">
        <f>IFERROR(__xludf.DUMMYFUNCTION("""COMPUTED_VALUE"""),1973.0)</f>
        <v>1973</v>
      </c>
      <c r="C17" s="7">
        <f>IFERROR(__xludf.DUMMYFUNCTION("""COMPUTED_VALUE"""),8408049.0)</f>
        <v>8408049</v>
      </c>
      <c r="E17" s="6" t="s">
        <v>38</v>
      </c>
      <c r="F17" s="8">
        <v>6826334.57</v>
      </c>
      <c r="J17" s="6" t="s">
        <v>26</v>
      </c>
      <c r="K17" s="8">
        <v>4667182.4</v>
      </c>
      <c r="L17" s="9"/>
      <c r="M17" s="13"/>
      <c r="Q17" s="9" t="str">
        <f>IFERROR(__xludf.DUMMYFUNCTION("""COMPUTED_VALUE"""),"Democratic Republic of Congo")</f>
        <v>Democratic Republic of Congo</v>
      </c>
      <c r="R17" s="9">
        <f>IFERROR(__xludf.DUMMYFUNCTION("""COMPUTED_VALUE"""),91100.0)</f>
        <v>91100</v>
      </c>
      <c r="T17" s="9">
        <f>IFERROR(__xludf.DUMMYFUNCTION("""COMPUTED_VALUE"""),1975.0)</f>
        <v>1975</v>
      </c>
      <c r="U17" s="9">
        <f>IFERROR(__xludf.DUMMYFUNCTION("""COMPUTED_VALUE"""),1272298.0)</f>
        <v>1272298</v>
      </c>
      <c r="V17" s="9">
        <f>IFERROR(__xludf.DUMMYFUNCTION("""COMPUTED_VALUE"""),1278759.0)</f>
        <v>1278759</v>
      </c>
      <c r="Y17" s="9" t="s">
        <v>38</v>
      </c>
      <c r="Z17" s="9">
        <f t="array" ref="Z17">SUMIFS(cleaned!D17:D7522, cleaned!B17:B7522, dimension!A17:A98, cleaned!C17:C7522, 1976)</f>
        <v>81784</v>
      </c>
    </row>
    <row r="18">
      <c r="B18" s="6">
        <f>IFERROR(__xludf.DUMMYFUNCTION("""COMPUTED_VALUE"""),1974.0)</f>
        <v>1974</v>
      </c>
      <c r="C18" s="7">
        <f>IFERROR(__xludf.DUMMYFUNCTION("""COMPUTED_VALUE"""),9575410.0)</f>
        <v>9575410</v>
      </c>
      <c r="E18" s="6" t="s">
        <v>31</v>
      </c>
      <c r="F18" s="8">
        <v>1.255742147E7</v>
      </c>
      <c r="J18" s="6" t="s">
        <v>41</v>
      </c>
      <c r="K18" s="8">
        <v>4295567.63</v>
      </c>
      <c r="L18" s="9"/>
      <c r="M18" s="13"/>
      <c r="Q18" s="9" t="str">
        <f>IFERROR(__xludf.DUMMYFUNCTION("""COMPUTED_VALUE"""),"Ecuador")</f>
        <v>Ecuador</v>
      </c>
      <c r="R18" s="9">
        <f>IFERROR(__xludf.DUMMYFUNCTION("""COMPUTED_VALUE"""),87101.0)</f>
        <v>87101</v>
      </c>
      <c r="T18" s="9">
        <f>IFERROR(__xludf.DUMMYFUNCTION("""COMPUTED_VALUE"""),1976.0)</f>
        <v>1976</v>
      </c>
      <c r="U18" s="9">
        <f>IFERROR(__xludf.DUMMYFUNCTION("""COMPUTED_VALUE"""),375985.0)</f>
        <v>375985</v>
      </c>
      <c r="V18" s="9">
        <f>IFERROR(__xludf.DUMMYFUNCTION("""COMPUTED_VALUE"""),1283500.0)</f>
        <v>1283500</v>
      </c>
      <c r="Y18" s="9" t="s">
        <v>31</v>
      </c>
      <c r="Z18" s="9">
        <f t="array" ref="Z18">SUMIFS(cleaned!D18:D7522, cleaned!B18:B7522, dimension!A18:A99, cleaned!C18:C7522, 1976)</f>
        <v>308400</v>
      </c>
    </row>
    <row r="19">
      <c r="B19" s="6">
        <f>IFERROR(__xludf.DUMMYFUNCTION("""COMPUTED_VALUE"""),1975.0)</f>
        <v>1975</v>
      </c>
      <c r="C19" s="7">
        <f>IFERROR(__xludf.DUMMYFUNCTION("""COMPUTED_VALUE"""),9245128.0)</f>
        <v>9245128</v>
      </c>
      <c r="E19" s="6" t="s">
        <v>42</v>
      </c>
      <c r="F19" s="8">
        <v>1202993.32</v>
      </c>
      <c r="J19" s="6" t="s">
        <v>43</v>
      </c>
      <c r="K19" s="8">
        <v>4279110.299999999</v>
      </c>
      <c r="L19" s="9"/>
      <c r="M19" s="13"/>
      <c r="Q19" s="9" t="str">
        <f>IFERROR(__xludf.DUMMYFUNCTION("""COMPUTED_VALUE"""),"India")</f>
        <v>India</v>
      </c>
      <c r="R19" s="9">
        <f>IFERROR(__xludf.DUMMYFUNCTION("""COMPUTED_VALUE"""),84000.0)</f>
        <v>84000</v>
      </c>
      <c r="T19" s="9">
        <f>IFERROR(__xludf.DUMMYFUNCTION("""COMPUTED_VALUE"""),1977.0)</f>
        <v>1977</v>
      </c>
      <c r="U19" s="9">
        <f>IFERROR(__xludf.DUMMYFUNCTION("""COMPUTED_VALUE"""),975385.0)</f>
        <v>975385</v>
      </c>
      <c r="V19" s="9">
        <f>IFERROR(__xludf.DUMMYFUNCTION("""COMPUTED_VALUE"""),1294373.0)</f>
        <v>1294373</v>
      </c>
      <c r="Y19" s="9" t="s">
        <v>42</v>
      </c>
      <c r="Z19" s="9">
        <f t="array" ref="Z19">SUMIFS(cleaned!D19:D7522, cleaned!B19:B7522, dimension!A19:A100, cleaned!C19:C7522, 1976)</f>
        <v>27151</v>
      </c>
    </row>
    <row r="20">
      <c r="B20" s="6">
        <f>IFERROR(__xludf.DUMMYFUNCTION("""COMPUTED_VALUE"""),1976.0)</f>
        <v>1976</v>
      </c>
      <c r="C20" s="7">
        <f>IFERROR(__xludf.DUMMYFUNCTION("""COMPUTED_VALUE"""),7086181.0)</f>
        <v>7086181</v>
      </c>
      <c r="E20" s="6" t="s">
        <v>44</v>
      </c>
      <c r="F20" s="8">
        <v>4084986.190000001</v>
      </c>
      <c r="J20" s="6" t="s">
        <v>45</v>
      </c>
      <c r="K20" s="8">
        <v>4255663.880000001</v>
      </c>
      <c r="L20" s="9"/>
      <c r="M20" s="13"/>
      <c r="Q20" s="9" t="str">
        <f>IFERROR(__xludf.DUMMYFUNCTION("""COMPUTED_VALUE"""),"Costa Rica")</f>
        <v>Costa Rica</v>
      </c>
      <c r="R20" s="9">
        <f>IFERROR(__xludf.DUMMYFUNCTION("""COMPUTED_VALUE"""),81784.0)</f>
        <v>81784</v>
      </c>
      <c r="T20" s="9">
        <f>IFERROR(__xludf.DUMMYFUNCTION("""COMPUTED_VALUE"""),1978.0)</f>
        <v>1978</v>
      </c>
      <c r="U20" s="9">
        <f>IFERROR(__xludf.DUMMYFUNCTION("""COMPUTED_VALUE"""),1267661.0)</f>
        <v>1267661</v>
      </c>
      <c r="V20" s="9">
        <f>IFERROR(__xludf.DUMMYFUNCTION("""COMPUTED_VALUE"""),1307289.0)</f>
        <v>1307289</v>
      </c>
      <c r="Y20" s="9" t="s">
        <v>44</v>
      </c>
      <c r="Z20" s="9">
        <f t="array" ref="Z20">SUMIFS(cleaned!D20:D7522, cleaned!B20:B7522, dimension!A20:A101, cleaned!C20:C7522, 1976)</f>
        <v>91100</v>
      </c>
    </row>
    <row r="21">
      <c r="B21" s="6">
        <f>IFERROR(__xludf.DUMMYFUNCTION("""COMPUTED_VALUE"""),1977.0)</f>
        <v>1977</v>
      </c>
      <c r="C21" s="7">
        <f>IFERROR(__xludf.DUMMYFUNCTION("""COMPUTED_VALUE"""),8837726.0)</f>
        <v>8837726</v>
      </c>
      <c r="E21" s="6" t="s">
        <v>46</v>
      </c>
      <c r="F21" s="8">
        <v>12363.019999999999</v>
      </c>
      <c r="J21" s="6" t="s">
        <v>47</v>
      </c>
      <c r="K21" s="8">
        <v>4181454.0</v>
      </c>
      <c r="L21" s="9"/>
      <c r="M21" s="13"/>
      <c r="Q21" s="9" t="str">
        <f>IFERROR(__xludf.DUMMYFUNCTION("""COMPUTED_VALUE"""),"Philippines")</f>
        <v>Philippines</v>
      </c>
      <c r="R21" s="9">
        <f>IFERROR(__xludf.DUMMYFUNCTION("""COMPUTED_VALUE"""),80800.0)</f>
        <v>80800</v>
      </c>
      <c r="T21" s="9">
        <f>IFERROR(__xludf.DUMMYFUNCTION("""COMPUTED_VALUE"""),1979.0)</f>
        <v>1979</v>
      </c>
      <c r="U21" s="9">
        <f>IFERROR(__xludf.DUMMYFUNCTION("""COMPUTED_VALUE"""),1332772.0)</f>
        <v>1332772</v>
      </c>
      <c r="V21" s="9">
        <f>IFERROR(__xludf.DUMMYFUNCTION("""COMPUTED_VALUE"""),1332772.0)</f>
        <v>1332772</v>
      </c>
      <c r="Y21" s="9" t="s">
        <v>46</v>
      </c>
      <c r="Z21" s="9">
        <f t="array" ref="Z21">SUMIFS(cleaned!D21:D7522, cleaned!B21:B7522, dimension!A21:A102, cleaned!C21:C7522, 1976)</f>
        <v>0</v>
      </c>
    </row>
    <row r="22">
      <c r="B22" s="6">
        <f>IFERROR(__xludf.DUMMYFUNCTION("""COMPUTED_VALUE"""),1978.0)</f>
        <v>1978</v>
      </c>
      <c r="C22" s="7">
        <f>IFERROR(__xludf.DUMMYFUNCTION("""COMPUTED_VALUE"""),9497051.0)</f>
        <v>9497051</v>
      </c>
      <c r="E22" s="6" t="s">
        <v>48</v>
      </c>
      <c r="F22" s="8">
        <v>2679181.22</v>
      </c>
      <c r="J22" s="6" t="s">
        <v>44</v>
      </c>
      <c r="K22" s="8">
        <v>4084986.190000001</v>
      </c>
      <c r="L22" s="9"/>
      <c r="M22" s="13"/>
      <c r="Q22" s="9" t="str">
        <f>IFERROR(__xludf.DUMMYFUNCTION("""COMPUTED_VALUE"""),"Kenya")</f>
        <v>Kenya</v>
      </c>
      <c r="R22" s="9">
        <f>IFERROR(__xludf.DUMMYFUNCTION("""COMPUTED_VALUE"""),80303.0)</f>
        <v>80303</v>
      </c>
      <c r="T22" s="9">
        <f>IFERROR(__xludf.DUMMYFUNCTION("""COMPUTED_VALUE"""),1980.0)</f>
        <v>1980</v>
      </c>
      <c r="U22" s="9">
        <f>IFERROR(__xludf.DUMMYFUNCTION("""COMPUTED_VALUE"""),1061195.0)</f>
        <v>1061195</v>
      </c>
      <c r="V22" s="9">
        <f>IFERROR(__xludf.DUMMYFUNCTION("""COMPUTED_VALUE"""),1348014.0)</f>
        <v>1348014</v>
      </c>
      <c r="Y22" s="9" t="s">
        <v>48</v>
      </c>
      <c r="Z22" s="9">
        <f t="array" ref="Z22">SUMIFS(cleaned!D22:D7522, cleaned!B22:B7522, dimension!A22:A103, cleaned!C22:C7522, 1976)</f>
        <v>56997</v>
      </c>
    </row>
    <row r="23">
      <c r="B23" s="6">
        <f>IFERROR(__xludf.DUMMYFUNCTION("""COMPUTED_VALUE"""),1979.0)</f>
        <v>1979</v>
      </c>
      <c r="C23" s="7">
        <f>IFERROR(__xludf.DUMMYFUNCTION("""COMPUTED_VALUE"""),9996678.0)</f>
        <v>9996678</v>
      </c>
      <c r="E23" s="6" t="s">
        <v>49</v>
      </c>
      <c r="F23" s="8">
        <v>512423.74</v>
      </c>
      <c r="J23" s="6" t="s">
        <v>50</v>
      </c>
      <c r="K23" s="8">
        <v>4004490.87</v>
      </c>
      <c r="L23" s="9"/>
      <c r="M23" s="13"/>
      <c r="Q23" s="9" t="str">
        <f>IFERROR(__xludf.DUMMYFUNCTION("""COMPUTED_VALUE"""),"Cameroon")</f>
        <v>Cameroon</v>
      </c>
      <c r="R23" s="9">
        <f>IFERROR(__xludf.DUMMYFUNCTION("""COMPUTED_VALUE"""),79599.0)</f>
        <v>79599</v>
      </c>
      <c r="T23" s="9">
        <f>IFERROR(__xludf.DUMMYFUNCTION("""COMPUTED_VALUE"""),1981.0)</f>
        <v>1981</v>
      </c>
      <c r="U23" s="9">
        <f>IFERROR(__xludf.DUMMYFUNCTION("""COMPUTED_VALUE"""),2032210.0)</f>
        <v>2032210</v>
      </c>
      <c r="V23" s="9">
        <f>IFERROR(__xludf.DUMMYFUNCTION("""COMPUTED_VALUE"""),1369196.0)</f>
        <v>1369196</v>
      </c>
      <c r="Y23" s="9" t="s">
        <v>49</v>
      </c>
      <c r="Z23" s="9">
        <f t="array" ref="Z23">SUMIFS(cleaned!D23:D7522, cleaned!B23:B7522, dimension!A23:A104, cleaned!C23:C7522, 1976)</f>
        <v>6000</v>
      </c>
    </row>
    <row r="24">
      <c r="B24" s="6">
        <f>IFERROR(__xludf.DUMMYFUNCTION("""COMPUTED_VALUE"""),1980.0)</f>
        <v>1980</v>
      </c>
      <c r="C24" s="7">
        <f>IFERROR(__xludf.DUMMYFUNCTION("""COMPUTED_VALUE"""),9734129.0)</f>
        <v>9734129</v>
      </c>
      <c r="E24" s="6" t="s">
        <v>45</v>
      </c>
      <c r="F24" s="8">
        <v>4255663.880000001</v>
      </c>
      <c r="J24" s="6" t="s">
        <v>51</v>
      </c>
      <c r="K24" s="8">
        <v>3661881.46</v>
      </c>
      <c r="L24" s="9"/>
      <c r="M24" s="13"/>
      <c r="Q24" s="9" t="str">
        <f>IFERROR(__xludf.DUMMYFUNCTION("""COMPUTED_VALUE"""),"Madagascar")</f>
        <v>Madagascar</v>
      </c>
      <c r="R24" s="9">
        <f>IFERROR(__xludf.DUMMYFUNCTION("""COMPUTED_VALUE"""),78930.0)</f>
        <v>78930</v>
      </c>
      <c r="T24" s="9">
        <f>IFERROR(__xludf.DUMMYFUNCTION("""COMPUTED_VALUE"""),1982.0)</f>
        <v>1982</v>
      </c>
      <c r="U24" s="9">
        <f>IFERROR(__xludf.DUMMYFUNCTION("""COMPUTED_VALUE"""),957931.0)</f>
        <v>957931</v>
      </c>
      <c r="V24" s="9">
        <f>IFERROR(__xludf.DUMMYFUNCTION("""COMPUTED_VALUE"""),1420281.0)</f>
        <v>1420281</v>
      </c>
      <c r="Y24" s="9" t="s">
        <v>45</v>
      </c>
      <c r="Z24" s="9">
        <f t="array" ref="Z24">SUMIFS(cleaned!D24:D7522, cleaned!B24:B7522, dimension!A24:A105, cleaned!C24:C7522, 1976)</f>
        <v>87101</v>
      </c>
    </row>
    <row r="25">
      <c r="B25" s="6">
        <f>IFERROR(__xludf.DUMMYFUNCTION("""COMPUTED_VALUE"""),1981.0)</f>
        <v>1981</v>
      </c>
      <c r="C25" s="7">
        <f>IFERROR(__xludf.DUMMYFUNCTION("""COMPUTED_VALUE"""),1.2217094E7)</f>
        <v>12217094</v>
      </c>
      <c r="E25" s="6" t="s">
        <v>36</v>
      </c>
      <c r="F25" s="8">
        <v>7246445.34</v>
      </c>
      <c r="J25" s="6" t="s">
        <v>52</v>
      </c>
      <c r="K25" s="8">
        <v>3419867.0</v>
      </c>
      <c r="L25" s="9"/>
      <c r="M25" s="13"/>
      <c r="Q25" s="9" t="str">
        <f>IFERROR(__xludf.DUMMYFUNCTION("""COMPUTED_VALUE"""),"Peru")</f>
        <v>Peru</v>
      </c>
      <c r="R25" s="9">
        <f>IFERROR(__xludf.DUMMYFUNCTION("""COMPUTED_VALUE"""),65445.0)</f>
        <v>65445</v>
      </c>
      <c r="T25" s="9">
        <f>IFERROR(__xludf.DUMMYFUNCTION("""COMPUTED_VALUE"""),1983.0)</f>
        <v>1983</v>
      </c>
      <c r="U25" s="9">
        <f>IFERROR(__xludf.DUMMYFUNCTION("""COMPUTED_VALUE"""),1671588.0)</f>
        <v>1671588</v>
      </c>
      <c r="V25" s="9">
        <f>IFERROR(__xludf.DUMMYFUNCTION("""COMPUTED_VALUE"""),1464856.0)</f>
        <v>1464856</v>
      </c>
      <c r="Y25" s="9" t="s">
        <v>36</v>
      </c>
      <c r="Z25" s="9">
        <f t="array" ref="Z25">SUMIFS(cleaned!D25:D7522, cleaned!B25:B7522, dimension!A25:A106, cleaned!C25:C7522, 1976)</f>
        <v>138690</v>
      </c>
    </row>
    <row r="26">
      <c r="B26" s="6">
        <f>IFERROR(__xludf.DUMMYFUNCTION("""COMPUTED_VALUE"""),1982.0)</f>
        <v>1982</v>
      </c>
      <c r="C26" s="7">
        <f>IFERROR(__xludf.DUMMYFUNCTION("""COMPUTED_VALUE"""),9923338.0)</f>
        <v>9923338</v>
      </c>
      <c r="E26" s="6" t="s">
        <v>53</v>
      </c>
      <c r="F26" s="8">
        <v>354356.8699999999</v>
      </c>
      <c r="J26" s="6" t="s">
        <v>54</v>
      </c>
      <c r="K26" s="8">
        <v>3280563.6599999997</v>
      </c>
      <c r="L26" s="9"/>
      <c r="M26" s="13"/>
      <c r="Q26" s="9" t="str">
        <f>IFERROR(__xludf.DUMMYFUNCTION("""COMPUTED_VALUE"""),"Angola")</f>
        <v>Angola</v>
      </c>
      <c r="R26" s="9">
        <f>IFERROR(__xludf.DUMMYFUNCTION("""COMPUTED_VALUE"""),57480.0)</f>
        <v>57480</v>
      </c>
      <c r="T26" s="9">
        <f>IFERROR(__xludf.DUMMYFUNCTION("""COMPUTED_VALUE"""),1984.0)</f>
        <v>1984</v>
      </c>
      <c r="U26" s="9">
        <f>IFERROR(__xludf.DUMMYFUNCTION("""COMPUTED_VALUE"""),1420281.0)</f>
        <v>1420281</v>
      </c>
      <c r="V26" s="9">
        <f>IFERROR(__xludf.DUMMYFUNCTION("""COMPUTED_VALUE"""),1495705.0)</f>
        <v>1495705</v>
      </c>
      <c r="Y26" s="9" t="s">
        <v>53</v>
      </c>
      <c r="Z26" s="9">
        <f t="array" ref="Z26">SUMIFS(cleaned!D26:D7522, cleaned!B26:B7522, dimension!A26:A107, cleaned!C26:C7522, 1976)</f>
        <v>5400</v>
      </c>
    </row>
    <row r="27">
      <c r="B27" s="6">
        <f>IFERROR(__xludf.DUMMYFUNCTION("""COMPUTED_VALUE"""),1983.0)</f>
        <v>1983</v>
      </c>
      <c r="C27" s="7">
        <f>IFERROR(__xludf.DUMMYFUNCTION("""COMPUTED_VALUE"""),1.1220683E7)</f>
        <v>11220683</v>
      </c>
      <c r="E27" s="6" t="s">
        <v>21</v>
      </c>
      <c r="F27" s="8">
        <v>1.677486716E7</v>
      </c>
      <c r="J27" s="6" t="s">
        <v>55</v>
      </c>
      <c r="K27" s="8">
        <v>3060184.9099999997</v>
      </c>
      <c r="L27" s="9"/>
      <c r="M27" s="13"/>
      <c r="Q27" s="9" t="str">
        <f>IFERROR(__xludf.DUMMYFUNCTION("""COMPUTED_VALUE"""),"Dominican Republic")</f>
        <v>Dominican Republic</v>
      </c>
      <c r="R27" s="9">
        <f>IFERROR(__xludf.DUMMYFUNCTION("""COMPUTED_VALUE"""),56997.0)</f>
        <v>56997</v>
      </c>
      <c r="T27" s="9">
        <f>IFERROR(__xludf.DUMMYFUNCTION("""COMPUTED_VALUE"""),1985.0)</f>
        <v>1985</v>
      </c>
      <c r="U27" s="9">
        <f>IFERROR(__xludf.DUMMYFUNCTION("""COMPUTED_VALUE"""),1910646.0)</f>
        <v>1910646</v>
      </c>
      <c r="V27" s="9">
        <f>IFERROR(__xludf.DUMMYFUNCTION("""COMPUTED_VALUE"""),1507500.0)</f>
        <v>1507500</v>
      </c>
      <c r="Y27" s="9" t="s">
        <v>21</v>
      </c>
      <c r="Z27" s="9">
        <f t="array" ref="Z27">SUMIFS(cleaned!D27:D7522, cleaned!B27:B7522, dimension!A27:A108, cleaned!C27:C7522, 1976)</f>
        <v>178600</v>
      </c>
    </row>
    <row r="28">
      <c r="B28" s="6">
        <f>IFERROR(__xludf.DUMMYFUNCTION("""COMPUTED_VALUE"""),1984.0)</f>
        <v>1984</v>
      </c>
      <c r="C28" s="7">
        <f>IFERROR(__xludf.DUMMYFUNCTION("""COMPUTED_VALUE"""),1.0487169E7)</f>
        <v>10487169</v>
      </c>
      <c r="E28" s="6" t="s">
        <v>56</v>
      </c>
      <c r="F28" s="8">
        <v>2452.040000000001</v>
      </c>
      <c r="J28" s="6" t="s">
        <v>48</v>
      </c>
      <c r="K28" s="8">
        <v>2679181.22</v>
      </c>
      <c r="L28" s="9"/>
      <c r="M28" s="13"/>
      <c r="Q28" s="9" t="str">
        <f>IFERROR(__xludf.DUMMYFUNCTION("""COMPUTED_VALUE"""),"Nicaragua")</f>
        <v>Nicaragua</v>
      </c>
      <c r="R28" s="9">
        <f>IFERROR(__xludf.DUMMYFUNCTION("""COMPUTED_VALUE"""),56580.0)</f>
        <v>56580</v>
      </c>
      <c r="T28" s="9">
        <f>IFERROR(__xludf.DUMMYFUNCTION("""COMPUTED_VALUE"""),1986.0)</f>
        <v>1986</v>
      </c>
      <c r="U28" s="9">
        <f>IFERROR(__xludf.DUMMYFUNCTION("""COMPUTED_VALUE"""),1041406.0)</f>
        <v>1041406</v>
      </c>
      <c r="V28" s="9">
        <f>IFERROR(__xludf.DUMMYFUNCTION("""COMPUTED_VALUE"""),1520382.0)</f>
        <v>1520382</v>
      </c>
      <c r="Y28" s="9" t="s">
        <v>56</v>
      </c>
      <c r="Z28" s="9">
        <f t="array" ref="Z28">SUMIFS(cleaned!D28:D7522, cleaned!B28:B7522, dimension!A28:A109, cleaned!C28:C7522, 1976)</f>
        <v>15</v>
      </c>
    </row>
    <row r="29">
      <c r="B29" s="6">
        <f>IFERROR(__xludf.DUMMYFUNCTION("""COMPUTED_VALUE"""),1985.0)</f>
        <v>1985</v>
      </c>
      <c r="C29" s="7">
        <f>IFERROR(__xludf.DUMMYFUNCTION("""COMPUTED_VALUE"""),1.1706014E7)</f>
        <v>11706014</v>
      </c>
      <c r="E29" s="6" t="s">
        <v>57</v>
      </c>
      <c r="F29" s="8">
        <v>35257.580000000016</v>
      </c>
      <c r="J29" s="6" t="s">
        <v>58</v>
      </c>
      <c r="K29" s="8">
        <v>2500550.0</v>
      </c>
      <c r="L29" s="9"/>
      <c r="M29" s="13"/>
      <c r="Q29" s="9" t="str">
        <f>IFERROR(__xludf.DUMMYFUNCTION("""COMPUTED_VALUE"""),"Honduras")</f>
        <v>Honduras</v>
      </c>
      <c r="R29" s="9">
        <f>IFERROR(__xludf.DUMMYFUNCTION("""COMPUTED_VALUE"""),48285.0)</f>
        <v>48285</v>
      </c>
      <c r="T29" s="9">
        <f>IFERROR(__xludf.DUMMYFUNCTION("""COMPUTED_VALUE"""),1987.0)</f>
        <v>1987</v>
      </c>
      <c r="U29" s="9">
        <f>IFERROR(__xludf.DUMMYFUNCTION("""COMPUTED_VALUE"""),2202708.0)</f>
        <v>2202708</v>
      </c>
      <c r="V29" s="9">
        <f>IFERROR(__xludf.DUMMYFUNCTION("""COMPUTED_VALUE"""),1532335.0)</f>
        <v>1532335</v>
      </c>
      <c r="Y29" s="9" t="s">
        <v>57</v>
      </c>
      <c r="Z29" s="9">
        <f t="array" ref="Z29">SUMIFS(cleaned!D29:D7522, cleaned!B29:B7522, dimension!A29:A110, cleaned!C29:C7522, 1976)</f>
        <v>145</v>
      </c>
    </row>
    <row r="30">
      <c r="B30" s="6">
        <f>IFERROR(__xludf.DUMMYFUNCTION("""COMPUTED_VALUE"""),1986.0)</f>
        <v>1986</v>
      </c>
      <c r="C30" s="7">
        <f>IFERROR(__xludf.DUMMYFUNCTION("""COMPUTED_VALUE"""),1.0519382E7)</f>
        <v>10519382</v>
      </c>
      <c r="E30" s="6" t="s">
        <v>59</v>
      </c>
      <c r="F30" s="8">
        <v>158420.44</v>
      </c>
      <c r="J30" s="6" t="s">
        <v>30</v>
      </c>
      <c r="K30" s="8">
        <v>2477345.51</v>
      </c>
      <c r="L30" s="9"/>
      <c r="M30" s="13"/>
      <c r="Q30" s="9" t="str">
        <f>IFERROR(__xludf.DUMMYFUNCTION("""COMPUTED_VALUE"""),"Tanzania")</f>
        <v>Tanzania</v>
      </c>
      <c r="R30" s="9">
        <f>IFERROR(__xludf.DUMMYFUNCTION("""COMPUTED_VALUE"""),43278.0)</f>
        <v>43278</v>
      </c>
      <c r="T30" s="9">
        <f>IFERROR(__xludf.DUMMYFUNCTION("""COMPUTED_VALUE"""),1988.0)</f>
        <v>1988</v>
      </c>
      <c r="U30" s="9">
        <f>IFERROR(__xludf.DUMMYFUNCTION("""COMPUTED_VALUE"""),1348014.0)</f>
        <v>1348014</v>
      </c>
      <c r="V30" s="9">
        <f>IFERROR(__xludf.DUMMYFUNCTION("""COMPUTED_VALUE"""),1551462.0)</f>
        <v>1551462</v>
      </c>
      <c r="Y30" s="9" t="s">
        <v>59</v>
      </c>
      <c r="Z30" s="9">
        <f t="array" ref="Z30">SUMIFS(cleaned!D30:D7522, cleaned!B30:B7522, dimension!A30:A111, cleaned!C30:C7522, 1976)</f>
        <v>5500</v>
      </c>
    </row>
    <row r="31">
      <c r="B31" s="6">
        <f>IFERROR(__xludf.DUMMYFUNCTION("""COMPUTED_VALUE"""),1987.0)</f>
        <v>1987</v>
      </c>
      <c r="C31" s="7">
        <f>IFERROR(__xludf.DUMMYFUNCTION("""COMPUTED_VALUE"""),1.2833393E7)</f>
        <v>12833393</v>
      </c>
      <c r="E31" s="6" t="s">
        <v>60</v>
      </c>
      <c r="F31" s="8">
        <v>5305.499999999999</v>
      </c>
      <c r="J31" s="6" t="s">
        <v>22</v>
      </c>
      <c r="K31" s="8">
        <v>2162310.46</v>
      </c>
      <c r="L31" s="9"/>
      <c r="M31" s="13"/>
      <c r="Q31" s="9" t="str">
        <f>IFERROR(__xludf.DUMMYFUNCTION("""COMPUTED_VALUE"""),"Oceania")</f>
        <v>Oceania</v>
      </c>
      <c r="R31" s="9">
        <f>IFERROR(__xludf.DUMMYFUNCTION("""COMPUTED_VALUE"""),41165.0)</f>
        <v>41165</v>
      </c>
      <c r="T31" s="9">
        <f>IFERROR(__xludf.DUMMYFUNCTION("""COMPUTED_VALUE"""),1989.0)</f>
        <v>1989</v>
      </c>
      <c r="U31" s="9">
        <f>IFERROR(__xludf.DUMMYFUNCTION("""COMPUTED_VALUE"""),1532335.0)</f>
        <v>1532335</v>
      </c>
      <c r="V31" s="9">
        <f>IFERROR(__xludf.DUMMYFUNCTION("""COMPUTED_VALUE"""),1615309.0)</f>
        <v>1615309</v>
      </c>
      <c r="Y31" s="9" t="s">
        <v>60</v>
      </c>
      <c r="Z31" s="9">
        <f t="array" ref="Z31">SUMIFS(cleaned!D31:D7522, cleaned!B31:B7522, dimension!A31:A112, cleaned!C31:C7522, 1976)</f>
        <v>116</v>
      </c>
    </row>
    <row r="32">
      <c r="B32" s="6">
        <f>IFERROR(__xludf.DUMMYFUNCTION("""COMPUTED_VALUE"""),1988.0)</f>
        <v>1988</v>
      </c>
      <c r="C32" s="7">
        <f>IFERROR(__xludf.DUMMYFUNCTION("""COMPUTED_VALUE"""),1.1353206E7)</f>
        <v>11353206</v>
      </c>
      <c r="E32" s="6" t="s">
        <v>25</v>
      </c>
      <c r="F32" s="8">
        <v>1.279194274E7</v>
      </c>
      <c r="J32" s="6" t="s">
        <v>61</v>
      </c>
      <c r="K32" s="8">
        <v>2072822.3699999999</v>
      </c>
      <c r="L32" s="9"/>
      <c r="M32" s="13"/>
      <c r="Q32" s="9" t="str">
        <f>IFERROR(__xludf.DUMMYFUNCTION("""COMPUTED_VALUE"""),"Melanesia")</f>
        <v>Melanesia</v>
      </c>
      <c r="R32" s="9">
        <f>IFERROR(__xludf.DUMMYFUNCTION("""COMPUTED_VALUE"""),41041.0)</f>
        <v>41041</v>
      </c>
      <c r="T32" s="9">
        <f>IFERROR(__xludf.DUMMYFUNCTION("""COMPUTED_VALUE"""),1990.0)</f>
        <v>1990</v>
      </c>
      <c r="U32" s="9">
        <f>IFERROR(__xludf.DUMMYFUNCTION("""COMPUTED_VALUE"""),1464856.0)</f>
        <v>1464856</v>
      </c>
      <c r="V32" s="9">
        <f>IFERROR(__xludf.DUMMYFUNCTION("""COMPUTED_VALUE"""),1631852.0)</f>
        <v>1631852</v>
      </c>
      <c r="Y32" s="9" t="s">
        <v>25</v>
      </c>
      <c r="Z32" s="9">
        <f t="array" ref="Z32">SUMIFS(cleaned!D32:D7522, cleaned!B32:B7522, dimension!A32:A113, cleaned!C32:C7522, 1976)</f>
        <v>158433</v>
      </c>
    </row>
    <row r="33">
      <c r="B33" s="6">
        <f>IFERROR(__xludf.DUMMYFUNCTION("""COMPUTED_VALUE"""),1989.0)</f>
        <v>1989</v>
      </c>
      <c r="C33" s="7">
        <f>IFERROR(__xludf.DUMMYFUNCTION("""COMPUTED_VALUE"""),1.1882162E7)</f>
        <v>11882162</v>
      </c>
      <c r="E33" s="6" t="s">
        <v>54</v>
      </c>
      <c r="F33" s="8">
        <v>3280563.6599999997</v>
      </c>
      <c r="J33" s="6" t="s">
        <v>32</v>
      </c>
      <c r="K33" s="8">
        <v>2040412.2699999998</v>
      </c>
      <c r="L33" s="9"/>
      <c r="M33" s="13"/>
      <c r="Q33" s="9" t="str">
        <f>IFERROR(__xludf.DUMMYFUNCTION("""COMPUTED_VALUE"""),"Venezuela")</f>
        <v>Venezuela</v>
      </c>
      <c r="R33" s="9">
        <f>IFERROR(__xludf.DUMMYFUNCTION("""COMPUTED_VALUE"""),40350.0)</f>
        <v>40350</v>
      </c>
      <c r="T33" s="9">
        <f>IFERROR(__xludf.DUMMYFUNCTION("""COMPUTED_VALUE"""),1991.0)</f>
        <v>1991</v>
      </c>
      <c r="U33" s="9">
        <f>IFERROR(__xludf.DUMMYFUNCTION("""COMPUTED_VALUE"""),1520382.0)</f>
        <v>1520382</v>
      </c>
      <c r="V33" s="9">
        <f>IFERROR(__xludf.DUMMYFUNCTION("""COMPUTED_VALUE"""),1650527.0)</f>
        <v>1650527</v>
      </c>
      <c r="Y33" s="9" t="s">
        <v>54</v>
      </c>
      <c r="Z33" s="9">
        <f t="array" ref="Z33">SUMIFS(cleaned!D33:D7522, cleaned!B33:B7522, dimension!A33:A114, cleaned!C33:C7522, 1976)</f>
        <v>13975</v>
      </c>
    </row>
    <row r="34">
      <c r="B34" s="6">
        <f>IFERROR(__xludf.DUMMYFUNCTION("""COMPUTED_VALUE"""),1990.0)</f>
        <v>1990</v>
      </c>
      <c r="C34" s="7">
        <f>IFERROR(__xludf.DUMMYFUNCTION("""COMPUTED_VALUE"""),1.2187206E7)</f>
        <v>12187206</v>
      </c>
      <c r="E34" s="6" t="s">
        <v>62</v>
      </c>
      <c r="F34" s="8">
        <v>38721.0</v>
      </c>
      <c r="J34" s="6" t="s">
        <v>63</v>
      </c>
      <c r="K34" s="8">
        <v>1741216.4100000001</v>
      </c>
      <c r="L34" s="9"/>
      <c r="M34" s="13"/>
      <c r="Q34" s="9" t="str">
        <f>IFERROR(__xludf.DUMMYFUNCTION("""COMPUTED_VALUE"""),"Papua New Guinea")</f>
        <v>Papua New Guinea</v>
      </c>
      <c r="R34" s="9">
        <f>IFERROR(__xludf.DUMMYFUNCTION("""COMPUTED_VALUE"""),39466.0)</f>
        <v>39466</v>
      </c>
      <c r="T34" s="9">
        <f>IFERROR(__xludf.DUMMYFUNCTION("""COMPUTED_VALUE"""),1992.0)</f>
        <v>1992</v>
      </c>
      <c r="U34" s="9">
        <f>IFERROR(__xludf.DUMMYFUNCTION("""COMPUTED_VALUE"""),1294373.0)</f>
        <v>1294373</v>
      </c>
      <c r="V34" s="9">
        <f>IFERROR(__xludf.DUMMYFUNCTION("""COMPUTED_VALUE"""),1671588.0)</f>
        <v>1671588</v>
      </c>
      <c r="Y34" s="9" t="s">
        <v>62</v>
      </c>
      <c r="Z34" s="9">
        <f t="array" ref="Z34">SUMIFS(cleaned!D34:D7522, cleaned!B34:B7522, dimension!A34:A115, cleaned!C34:C7522, 1976)</f>
        <v>900</v>
      </c>
    </row>
    <row r="35">
      <c r="B35" s="6">
        <f>IFERROR(__xludf.DUMMYFUNCTION("""COMPUTED_VALUE"""),1991.0)</f>
        <v>1991</v>
      </c>
      <c r="C35" s="7">
        <f>IFERROR(__xludf.DUMMYFUNCTION("""COMPUTED_VALUE"""),1.2173584990000002E7)</f>
        <v>12173584.99</v>
      </c>
      <c r="E35" s="6" t="s">
        <v>63</v>
      </c>
      <c r="F35" s="8">
        <v>1741216.4100000001</v>
      </c>
      <c r="J35" s="6" t="s">
        <v>64</v>
      </c>
      <c r="K35" s="8">
        <v>1358374.0199999998</v>
      </c>
      <c r="L35" s="9"/>
      <c r="M35" s="13"/>
      <c r="Q35" s="9" t="str">
        <f>IFERROR(__xludf.DUMMYFUNCTION("""COMPUTED_VALUE"""),"Haiti")</f>
        <v>Haiti</v>
      </c>
      <c r="R35" s="9">
        <f>IFERROR(__xludf.DUMMYFUNCTION("""COMPUTED_VALUE"""),32280.0)</f>
        <v>32280</v>
      </c>
      <c r="T35" s="9">
        <f>IFERROR(__xludf.DUMMYFUNCTION("""COMPUTED_VALUE"""),1993.0)</f>
        <v>1993</v>
      </c>
      <c r="U35" s="9">
        <f>IFERROR(__xludf.DUMMYFUNCTION("""COMPUTED_VALUE"""),1278759.0)</f>
        <v>1278759</v>
      </c>
      <c r="V35" s="9">
        <f>IFERROR(__xludf.DUMMYFUNCTION("""COMPUTED_VALUE"""),1689366.0)</f>
        <v>1689366</v>
      </c>
      <c r="Y35" s="9" t="s">
        <v>63</v>
      </c>
      <c r="Z35" s="9">
        <f t="array" ref="Z35">SUMIFS(cleaned!D35:D7522, cleaned!B35:B7522, dimension!A35:A116, cleaned!C35:C7522, 1976)</f>
        <v>32280</v>
      </c>
    </row>
    <row r="36">
      <c r="B36" s="6">
        <f>IFERROR(__xludf.DUMMYFUNCTION("""COMPUTED_VALUE"""),1992.0)</f>
        <v>1992</v>
      </c>
      <c r="C36" s="7">
        <f>IFERROR(__xludf.DUMMYFUNCTION("""COMPUTED_VALUE"""),1.222352304E7)</f>
        <v>12223523.04</v>
      </c>
      <c r="E36" s="6" t="s">
        <v>33</v>
      </c>
      <c r="F36" s="8">
        <v>1.033233671E7</v>
      </c>
      <c r="J36" s="6" t="s">
        <v>16</v>
      </c>
      <c r="K36" s="8">
        <v>1246437.26</v>
      </c>
      <c r="L36" s="9"/>
      <c r="M36" s="13"/>
      <c r="Q36" s="9" t="str">
        <f>IFERROR(__xludf.DUMMYFUNCTION("""COMPUTED_VALUE"""),"Cuba")</f>
        <v>Cuba</v>
      </c>
      <c r="R36" s="9">
        <f>IFERROR(__xludf.DUMMYFUNCTION("""COMPUTED_VALUE"""),27151.0)</f>
        <v>27151</v>
      </c>
      <c r="T36" s="9">
        <f>IFERROR(__xludf.DUMMYFUNCTION("""COMPUTED_VALUE"""),1994.0)</f>
        <v>1994</v>
      </c>
      <c r="U36" s="9">
        <f>IFERROR(__xludf.DUMMYFUNCTION("""COMPUTED_VALUE"""),1307289.0)</f>
        <v>1307289</v>
      </c>
      <c r="V36" s="9">
        <f>IFERROR(__xludf.DUMMYFUNCTION("""COMPUTED_VALUE"""),1819569.0)</f>
        <v>1819569</v>
      </c>
      <c r="Y36" s="9" t="s">
        <v>33</v>
      </c>
      <c r="Z36" s="9">
        <f t="array" ref="Z36">SUMIFS(cleaned!D36:D7522, cleaned!B36:B7522, dimension!A36:A117, cleaned!C36:C7522, 1976)</f>
        <v>48285</v>
      </c>
    </row>
    <row r="37">
      <c r="B37" s="6">
        <f>IFERROR(__xludf.DUMMYFUNCTION("""COMPUTED_VALUE"""),1993.0)</f>
        <v>1993</v>
      </c>
      <c r="C37" s="7">
        <f>IFERROR(__xludf.DUMMYFUNCTION("""COMPUTED_VALUE"""),1.117373872E7)</f>
        <v>11173738.72</v>
      </c>
      <c r="E37" s="6" t="s">
        <v>29</v>
      </c>
      <c r="F37" s="8">
        <v>1.2584852E7</v>
      </c>
      <c r="J37" s="6" t="s">
        <v>42</v>
      </c>
      <c r="K37" s="8">
        <v>1202993.32</v>
      </c>
      <c r="L37" s="9"/>
      <c r="M37" s="13"/>
      <c r="Q37" s="9" t="str">
        <f>IFERROR(__xludf.DUMMYFUNCTION("""COMPUTED_VALUE"""),"Burundi")</f>
        <v>Burundi</v>
      </c>
      <c r="R37" s="9">
        <f>IFERROR(__xludf.DUMMYFUNCTION("""COMPUTED_VALUE"""),21428.0)</f>
        <v>21428</v>
      </c>
      <c r="T37" s="9">
        <f>IFERROR(__xludf.DUMMYFUNCTION("""COMPUTED_VALUE"""),1995.0)</f>
        <v>1995</v>
      </c>
      <c r="U37" s="9">
        <f>IFERROR(__xludf.DUMMYFUNCTION("""COMPUTED_VALUE"""),930135.0)</f>
        <v>930135</v>
      </c>
      <c r="V37" s="9">
        <f>IFERROR(__xludf.DUMMYFUNCTION("""COMPUTED_VALUE"""),1903562.0)</f>
        <v>1903562</v>
      </c>
      <c r="Y37" s="9" t="s">
        <v>29</v>
      </c>
      <c r="Z37" s="9">
        <f t="array" ref="Z37">SUMIFS(cleaned!D37:D7522, cleaned!B37:B7522, dimension!A37:A118, cleaned!C37:C7522, 1976)</f>
        <v>84000</v>
      </c>
    </row>
    <row r="38">
      <c r="B38" s="6">
        <f>IFERROR(__xludf.DUMMYFUNCTION("""COMPUTED_VALUE"""),1994.0)</f>
        <v>1994</v>
      </c>
      <c r="C38" s="7">
        <f>IFERROR(__xludf.DUMMYFUNCTION("""COMPUTED_VALUE"""),1.151270246E7)</f>
        <v>11512702.46</v>
      </c>
      <c r="E38" s="6" t="s">
        <v>18</v>
      </c>
      <c r="F38" s="8">
        <v>2.82240945E7</v>
      </c>
      <c r="J38" s="6" t="s">
        <v>65</v>
      </c>
      <c r="K38" s="8">
        <v>905539.8000000002</v>
      </c>
      <c r="L38" s="9"/>
      <c r="M38" s="13"/>
      <c r="Q38" s="9" t="str">
        <f>IFERROR(__xludf.DUMMYFUNCTION("""COMPUTED_VALUE"""),"Rwanda")</f>
        <v>Rwanda</v>
      </c>
      <c r="R38" s="9">
        <f>IFERROR(__xludf.DUMMYFUNCTION("""COMPUTED_VALUE"""),20334.0)</f>
        <v>20334</v>
      </c>
      <c r="T38" s="9">
        <f>IFERROR(__xludf.DUMMYFUNCTION("""COMPUTED_VALUE"""),1996.0)</f>
        <v>1996</v>
      </c>
      <c r="U38" s="9">
        <f>IFERROR(__xludf.DUMMYFUNCTION("""COMPUTED_VALUE"""),1369196.0)</f>
        <v>1369196</v>
      </c>
      <c r="V38" s="9">
        <f>IFERROR(__xludf.DUMMYFUNCTION("""COMPUTED_VALUE"""),1910646.0)</f>
        <v>1910646</v>
      </c>
      <c r="Y38" s="9" t="s">
        <v>18</v>
      </c>
      <c r="Z38" s="9">
        <f t="array" ref="Z38">SUMIFS(cleaned!D38:D7522, cleaned!B38:B7522, dimension!A38:A119, cleaned!C38:C7522, 1976)</f>
        <v>193377</v>
      </c>
    </row>
    <row r="39">
      <c r="B39" s="6">
        <f>IFERROR(__xludf.DUMMYFUNCTION("""COMPUTED_VALUE"""),1995.0)</f>
        <v>1995</v>
      </c>
      <c r="C39" s="7">
        <f>IFERROR(__xludf.DUMMYFUNCTION("""COMPUTED_VALUE"""),1.111802398E7)</f>
        <v>11118023.98</v>
      </c>
      <c r="E39" s="6" t="s">
        <v>66</v>
      </c>
      <c r="F39" s="8">
        <v>245584.9</v>
      </c>
      <c r="J39" s="6" t="s">
        <v>67</v>
      </c>
      <c r="K39" s="8">
        <v>807800.86</v>
      </c>
      <c r="L39" s="9"/>
      <c r="M39" s="13"/>
      <c r="Q39" s="9" t="str">
        <f>IFERROR(__xludf.DUMMYFUNCTION("""COMPUTED_VALUE"""),"Bolivia")</f>
        <v>Bolivia</v>
      </c>
      <c r="R39" s="9">
        <f>IFERROR(__xludf.DUMMYFUNCTION("""COMPUTED_VALUE"""),14664.0)</f>
        <v>14664</v>
      </c>
      <c r="T39" s="9">
        <f>IFERROR(__xludf.DUMMYFUNCTION("""COMPUTED_VALUE"""),1997.0)</f>
        <v>1997</v>
      </c>
      <c r="U39" s="9">
        <f>IFERROR(__xludf.DUMMYFUNCTION("""COMPUTED_VALUE"""),1228513.0)</f>
        <v>1228513</v>
      </c>
      <c r="V39" s="9">
        <f>IFERROR(__xludf.DUMMYFUNCTION("""COMPUTED_VALUE"""),1987074.0)</f>
        <v>1987074</v>
      </c>
      <c r="Y39" s="9" t="s">
        <v>66</v>
      </c>
      <c r="Z39" s="9">
        <f t="array" ref="Z39">SUMIFS(cleaned!D39:D7522, cleaned!B39:B7522, dimension!A39:A120, cleaned!C39:C7522, 1976)</f>
        <v>1929</v>
      </c>
    </row>
    <row r="40">
      <c r="B40" s="6">
        <f>IFERROR(__xludf.DUMMYFUNCTION("""COMPUTED_VALUE"""),1996.0)</f>
        <v>1996</v>
      </c>
      <c r="C40" s="7">
        <f>IFERROR(__xludf.DUMMYFUNCTION("""COMPUTED_VALUE"""),1.24606069E7)</f>
        <v>12460606.9</v>
      </c>
      <c r="E40" s="6" t="s">
        <v>47</v>
      </c>
      <c r="F40" s="8">
        <v>4181454.0</v>
      </c>
      <c r="J40" s="6" t="s">
        <v>68</v>
      </c>
      <c r="K40" s="8">
        <v>709152.6799999999</v>
      </c>
      <c r="L40" s="9"/>
      <c r="M40" s="13"/>
      <c r="Q40" s="9" t="str">
        <f>IFERROR(__xludf.DUMMYFUNCTION("""COMPUTED_VALUE"""),"Guinea")</f>
        <v>Guinea</v>
      </c>
      <c r="R40" s="9">
        <f>IFERROR(__xludf.DUMMYFUNCTION("""COMPUTED_VALUE"""),13975.0)</f>
        <v>13975</v>
      </c>
      <c r="T40" s="9">
        <f>IFERROR(__xludf.DUMMYFUNCTION("""COMPUTED_VALUE"""),1998.0)</f>
        <v>1998</v>
      </c>
      <c r="U40" s="9">
        <f>IFERROR(__xludf.DUMMYFUNCTION("""COMPUTED_VALUE"""),1689366.0)</f>
        <v>1689366</v>
      </c>
      <c r="V40" s="9">
        <f>IFERROR(__xludf.DUMMYFUNCTION("""COMPUTED_VALUE"""),2032210.0)</f>
        <v>2032210</v>
      </c>
      <c r="Y40" s="9" t="s">
        <v>47</v>
      </c>
      <c r="Z40" s="9">
        <f t="array" ref="Z40">SUMIFS(cleaned!D40:D7522, cleaned!B40:B7522, dimension!A40:A121, cleaned!C40:C7522, 1976)</f>
        <v>80303</v>
      </c>
    </row>
    <row r="41">
      <c r="B41" s="6">
        <f>IFERROR(__xludf.DUMMYFUNCTION("""COMPUTED_VALUE"""),1997.0)</f>
        <v>1997</v>
      </c>
      <c r="C41" s="7">
        <f>IFERROR(__xludf.DUMMYFUNCTION("""COMPUTED_VALUE"""),1.2208947630000003E7)</f>
        <v>12208947.63</v>
      </c>
      <c r="E41" s="6" t="s">
        <v>58</v>
      </c>
      <c r="F41" s="8">
        <v>2500550.0</v>
      </c>
      <c r="J41" s="6" t="s">
        <v>69</v>
      </c>
      <c r="K41" s="8">
        <v>627659.1000000002</v>
      </c>
      <c r="L41" s="9"/>
      <c r="M41" s="13"/>
      <c r="Q41" s="9" t="str">
        <f>IFERROR(__xludf.DUMMYFUNCTION("""COMPUTED_VALUE"""),"Central African Republic")</f>
        <v>Central African Republic</v>
      </c>
      <c r="R41" s="9">
        <f>IFERROR(__xludf.DUMMYFUNCTION("""COMPUTED_VALUE"""),13900.0)</f>
        <v>13900</v>
      </c>
      <c r="T41" s="9">
        <f>IFERROR(__xludf.DUMMYFUNCTION("""COMPUTED_VALUE"""),1999.0)</f>
        <v>1999</v>
      </c>
      <c r="U41" s="9">
        <f>IFERROR(__xludf.DUMMYFUNCTION("""COMPUTED_VALUE"""),1631852.0)</f>
        <v>1631852</v>
      </c>
      <c r="V41" s="9">
        <f>IFERROR(__xludf.DUMMYFUNCTION("""COMPUTED_VALUE"""),2140169.0)</f>
        <v>2140169</v>
      </c>
      <c r="Y41" s="9" t="s">
        <v>58</v>
      </c>
      <c r="Z41" s="9">
        <f t="array" ref="Z41">SUMIFS(cleaned!D41:D7522, cleaned!B41:B7522, dimension!A41:A122, cleaned!C41:C7522, 1976)</f>
        <v>2780</v>
      </c>
    </row>
    <row r="42">
      <c r="B42" s="6">
        <f>IFERROR(__xludf.DUMMYFUNCTION("""COMPUTED_VALUE"""),1998.0)</f>
        <v>1998</v>
      </c>
      <c r="C42" s="7">
        <f>IFERROR(__xludf.DUMMYFUNCTION("""COMPUTED_VALUE"""),1.3346405769999998E7)</f>
        <v>13346405.77</v>
      </c>
      <c r="E42" s="6" t="s">
        <v>70</v>
      </c>
      <c r="F42" s="8">
        <v>253292.61000000002</v>
      </c>
      <c r="J42" s="6" t="s">
        <v>71</v>
      </c>
      <c r="K42" s="8">
        <v>535592.51</v>
      </c>
      <c r="L42" s="9"/>
      <c r="M42" s="13"/>
      <c r="Q42" s="9" t="str">
        <f>IFERROR(__xludf.DUMMYFUNCTION("""COMPUTED_VALUE"""),"Puerto Rico")</f>
        <v>Puerto Rico</v>
      </c>
      <c r="R42" s="9">
        <f>IFERROR(__xludf.DUMMYFUNCTION("""COMPUTED_VALUE"""),11428.0)</f>
        <v>11428</v>
      </c>
      <c r="T42" s="9">
        <f>IFERROR(__xludf.DUMMYFUNCTION("""COMPUTED_VALUE"""),2000.0)</f>
        <v>2000</v>
      </c>
      <c r="U42" s="9">
        <f>IFERROR(__xludf.DUMMYFUNCTION("""COMPUTED_VALUE"""),1903562.0)</f>
        <v>1903562</v>
      </c>
      <c r="V42" s="9">
        <f>IFERROR(__xludf.DUMMYFUNCTION("""COMPUTED_VALUE"""),2190303.0)</f>
        <v>2190303</v>
      </c>
      <c r="Y42" s="9" t="s">
        <v>70</v>
      </c>
      <c r="Z42" s="9">
        <f t="array" ref="Z42">SUMIFS(cleaned!D42:D7522, cleaned!B42:B7522, dimension!A42:A123, cleaned!C42:C7522, 1976)</f>
        <v>4238</v>
      </c>
    </row>
    <row r="43">
      <c r="B43" s="6">
        <f>IFERROR(__xludf.DUMMYFUNCTION("""COMPUTED_VALUE"""),1999.0)</f>
        <v>1999</v>
      </c>
      <c r="C43" s="7">
        <f>IFERROR(__xludf.DUMMYFUNCTION("""COMPUTED_VALUE"""),1.3664735370000001E7)</f>
        <v>13664735.37</v>
      </c>
      <c r="E43" s="6" t="s">
        <v>41</v>
      </c>
      <c r="F43" s="8">
        <v>4295567.63</v>
      </c>
      <c r="J43" s="6" t="s">
        <v>72</v>
      </c>
      <c r="K43" s="8">
        <v>515024.1</v>
      </c>
      <c r="L43" s="9"/>
      <c r="M43" s="13"/>
      <c r="Q43" s="9" t="str">
        <f>IFERROR(__xludf.DUMMYFUNCTION("""COMPUTED_VALUE"""),"Vietnam")</f>
        <v>Vietnam</v>
      </c>
      <c r="R43" s="9">
        <f>IFERROR(__xludf.DUMMYFUNCTION("""COMPUTED_VALUE"""),9700.0)</f>
        <v>9700</v>
      </c>
      <c r="T43" s="9">
        <f>IFERROR(__xludf.DUMMYFUNCTION("""COMPUTED_VALUE"""),2001.0)</f>
        <v>2001</v>
      </c>
      <c r="U43" s="9">
        <f>IFERROR(__xludf.DUMMYFUNCTION("""COMPUTED_VALUE"""),1819569.0)</f>
        <v>1819569</v>
      </c>
      <c r="V43" s="9">
        <f>IFERROR(__xludf.DUMMYFUNCTION("""COMPUTED_VALUE"""),2202708.0)</f>
        <v>2202708</v>
      </c>
      <c r="Y43" s="9" t="s">
        <v>41</v>
      </c>
      <c r="Z43" s="9">
        <f t="array" ref="Z43">SUMIFS(cleaned!D43:D7522, cleaned!B43:B7522, dimension!A43:A124, cleaned!C43:C7522, 1976)</f>
        <v>78930</v>
      </c>
    </row>
    <row r="44">
      <c r="B44" s="6">
        <f>IFERROR(__xludf.DUMMYFUNCTION("""COMPUTED_VALUE"""),2000.0)</f>
        <v>2000</v>
      </c>
      <c r="C44" s="7">
        <f>IFERROR(__xludf.DUMMYFUNCTION("""COMPUTED_VALUE"""),1.5080663580000002E7)</f>
        <v>15080663.58</v>
      </c>
      <c r="E44" s="6" t="s">
        <v>73</v>
      </c>
      <c r="F44" s="8">
        <v>240478.46</v>
      </c>
      <c r="J44" s="6" t="s">
        <v>49</v>
      </c>
      <c r="K44" s="8">
        <v>512423.74</v>
      </c>
      <c r="L44" s="9"/>
      <c r="M44" s="13"/>
      <c r="Q44" s="9" t="str">
        <f>IFERROR(__xludf.DUMMYFUNCTION("""COMPUTED_VALUE"""),"Sri Lanka")</f>
        <v>Sri Lanka</v>
      </c>
      <c r="R44" s="9">
        <f>IFERROR(__xludf.DUMMYFUNCTION("""COMPUTED_VALUE"""),8876.0)</f>
        <v>8876</v>
      </c>
      <c r="T44" s="9">
        <f>IFERROR(__xludf.DUMMYFUNCTION("""COMPUTED_VALUE"""),2002.0)</f>
        <v>2002</v>
      </c>
      <c r="U44" s="9">
        <f>IFERROR(__xludf.DUMMYFUNCTION("""COMPUTED_VALUE"""),2610524.0)</f>
        <v>2610524</v>
      </c>
      <c r="V44" s="9">
        <f>IFERROR(__xludf.DUMMYFUNCTION("""COMPUTED_VALUE"""),2228704.0)</f>
        <v>2228704</v>
      </c>
      <c r="Y44" s="9" t="s">
        <v>73</v>
      </c>
      <c r="Z44" s="9">
        <f t="array" ref="Z44">SUMIFS(cleaned!D44:D7522, cleaned!B44:B7522, dimension!A44:A125, cleaned!C44:C7522, 1976)</f>
        <v>880</v>
      </c>
    </row>
    <row r="45">
      <c r="B45" s="6">
        <f>IFERROR(__xludf.DUMMYFUNCTION("""COMPUTED_VALUE"""),2001.0)</f>
        <v>2001</v>
      </c>
      <c r="C45" s="7">
        <f>IFERROR(__xludf.DUMMYFUNCTION("""COMPUTED_VALUE"""),1.48237266E7)</f>
        <v>14823726.6</v>
      </c>
      <c r="E45" s="6" t="s">
        <v>74</v>
      </c>
      <c r="F45" s="8">
        <v>23551.89</v>
      </c>
      <c r="J45" s="6" t="s">
        <v>75</v>
      </c>
      <c r="K45" s="8">
        <v>374990.32</v>
      </c>
      <c r="L45" s="9"/>
      <c r="M45" s="13"/>
      <c r="Q45" s="9" t="str">
        <f>IFERROR(__xludf.DUMMYFUNCTION("""COMPUTED_VALUE"""),"Togo")</f>
        <v>Togo</v>
      </c>
      <c r="R45" s="9">
        <f>IFERROR(__xludf.DUMMYFUNCTION("""COMPUTED_VALUE"""),8512.0)</f>
        <v>8512</v>
      </c>
      <c r="T45" s="9">
        <f>IFERROR(__xludf.DUMMYFUNCTION("""COMPUTED_VALUE"""),2003.0)</f>
        <v>2003</v>
      </c>
      <c r="U45" s="9">
        <f>IFERROR(__xludf.DUMMYFUNCTION("""COMPUTED_VALUE"""),1987074.0)</f>
        <v>1987074</v>
      </c>
      <c r="V45" s="9">
        <f>IFERROR(__xludf.DUMMYFUNCTION("""COMPUTED_VALUE"""),2249011.0)</f>
        <v>2249011</v>
      </c>
      <c r="Y45" s="9" t="s">
        <v>74</v>
      </c>
      <c r="Z45" s="9">
        <f t="array" ref="Z45">SUMIFS(cleaned!D45:D7522, cleaned!B45:B7522, dimension!A45:A126, cleaned!C45:C7522, 1976)</f>
        <v>0</v>
      </c>
    </row>
    <row r="46">
      <c r="B46" s="6">
        <f>IFERROR(__xludf.DUMMYFUNCTION("""COMPUTED_VALUE"""),2002.0)</f>
        <v>2002</v>
      </c>
      <c r="C46" s="7">
        <f>IFERROR(__xludf.DUMMYFUNCTION("""COMPUTED_VALUE"""),1.5922214040000001E7)</f>
        <v>15922214.04</v>
      </c>
      <c r="E46" s="6" t="s">
        <v>76</v>
      </c>
      <c r="F46" s="8">
        <v>130.0</v>
      </c>
      <c r="J46" s="6" t="s">
        <v>53</v>
      </c>
      <c r="K46" s="8">
        <v>354356.8699999999</v>
      </c>
      <c r="L46" s="9"/>
      <c r="M46" s="13"/>
      <c r="Q46" s="9" t="str">
        <f>IFERROR(__xludf.DUMMYFUNCTION("""COMPUTED_VALUE"""),"Malaysia")</f>
        <v>Malaysia</v>
      </c>
      <c r="R46" s="9">
        <f>IFERROR(__xludf.DUMMYFUNCTION("""COMPUTED_VALUE"""),8100.0)</f>
        <v>8100</v>
      </c>
      <c r="T46" s="9">
        <f>IFERROR(__xludf.DUMMYFUNCTION("""COMPUTED_VALUE"""),2004.0)</f>
        <v>2004</v>
      </c>
      <c r="U46" s="9">
        <f>IFERROR(__xludf.DUMMYFUNCTION("""COMPUTED_VALUE"""),2465710.0)</f>
        <v>2465710</v>
      </c>
      <c r="V46" s="9">
        <f>IFERROR(__xludf.DUMMYFUNCTION("""COMPUTED_VALUE"""),2294047.0)</f>
        <v>2294047</v>
      </c>
      <c r="Y46" s="9" t="s">
        <v>76</v>
      </c>
      <c r="Z46" s="9">
        <f t="array" ref="Z46">SUMIFS(cleaned!D46:D7522, cleaned!B46:B7522, dimension!A46:A127, cleaned!C46:C7522, 1976)</f>
        <v>0</v>
      </c>
    </row>
    <row r="47">
      <c r="B47" s="6">
        <f>IFERROR(__xludf.DUMMYFUNCTION("""COMPUTED_VALUE"""),2003.0)</f>
        <v>2003</v>
      </c>
      <c r="C47" s="7">
        <f>IFERROR(__xludf.DUMMYFUNCTION("""COMPUTED_VALUE"""),1.4147577350000001E7)</f>
        <v>14147577.35</v>
      </c>
      <c r="E47" s="6" t="s">
        <v>23</v>
      </c>
      <c r="F47" s="8">
        <v>1.594490667E7</v>
      </c>
      <c r="J47" s="6" t="s">
        <v>77</v>
      </c>
      <c r="K47" s="8">
        <v>282252.76</v>
      </c>
      <c r="L47" s="9"/>
      <c r="M47" s="13"/>
      <c r="Q47" s="9" t="str">
        <f>IFERROR(__xludf.DUMMYFUNCTION("""COMPUTED_VALUE"""),"Thailand")</f>
        <v>Thailand</v>
      </c>
      <c r="R47" s="9">
        <f>IFERROR(__xludf.DUMMYFUNCTION("""COMPUTED_VALUE"""),7635.0)</f>
        <v>7635</v>
      </c>
      <c r="T47" s="9">
        <f>IFERROR(__xludf.DUMMYFUNCTION("""COMPUTED_VALUE"""),2005.0)</f>
        <v>2005</v>
      </c>
      <c r="U47" s="9">
        <f>IFERROR(__xludf.DUMMYFUNCTION("""COMPUTED_VALUE"""),2140169.0)</f>
        <v>2140169</v>
      </c>
      <c r="V47" s="9">
        <f>IFERROR(__xludf.DUMMYFUNCTION("""COMPUTED_VALUE"""),2440056.0)</f>
        <v>2440056</v>
      </c>
      <c r="Y47" s="9" t="s">
        <v>23</v>
      </c>
      <c r="Z47" s="9">
        <f t="array" ref="Z47">SUMIFS(cleaned!D47:D7522, cleaned!B47:B7522, dimension!A47:A128, cleaned!C47:C7522, 1976)</f>
        <v>212200</v>
      </c>
    </row>
    <row r="48">
      <c r="B48" s="6">
        <f>IFERROR(__xludf.DUMMYFUNCTION("""COMPUTED_VALUE"""),2004.0)</f>
        <v>2004</v>
      </c>
      <c r="C48" s="7">
        <f>IFERROR(__xludf.DUMMYFUNCTION("""COMPUTED_VALUE"""),1.5785744190000003E7)</f>
        <v>15785744.19</v>
      </c>
      <c r="E48" s="6" t="s">
        <v>78</v>
      </c>
      <c r="F48" s="8">
        <v>57353.270000000004</v>
      </c>
      <c r="J48" s="6" t="s">
        <v>70</v>
      </c>
      <c r="K48" s="8">
        <v>253292.61000000002</v>
      </c>
      <c r="L48" s="9"/>
      <c r="M48" s="13"/>
      <c r="Q48" s="9" t="str">
        <f>IFERROR(__xludf.DUMMYFUNCTION("""COMPUTED_VALUE"""),"East Timor")</f>
        <v>East Timor</v>
      </c>
      <c r="R48" s="9">
        <f>IFERROR(__xludf.DUMMYFUNCTION("""COMPUTED_VALUE"""),6000.0)</f>
        <v>6000</v>
      </c>
      <c r="T48" s="9">
        <f>IFERROR(__xludf.DUMMYFUNCTION("""COMPUTED_VALUE"""),2006.0)</f>
        <v>2006</v>
      </c>
      <c r="U48" s="9">
        <f>IFERROR(__xludf.DUMMYFUNCTION("""COMPUTED_VALUE"""),2573368.0)</f>
        <v>2573368</v>
      </c>
      <c r="V48" s="9">
        <f>IFERROR(__xludf.DUMMYFUNCTION("""COMPUTED_VALUE"""),2465710.0)</f>
        <v>2465710</v>
      </c>
      <c r="Y48" s="9" t="s">
        <v>78</v>
      </c>
      <c r="Z48" s="9">
        <f t="array" ref="Z48">SUMIFS(cleaned!D48:D7522, cleaned!B48:B7522, dimension!A48:A129, cleaned!C48:C7522, 1976)</f>
        <v>1000</v>
      </c>
    </row>
    <row r="49">
      <c r="B49" s="6">
        <f>IFERROR(__xludf.DUMMYFUNCTION("""COMPUTED_VALUE"""),2005.0)</f>
        <v>2005</v>
      </c>
      <c r="C49" s="7">
        <f>IFERROR(__xludf.DUMMYFUNCTION("""COMPUTED_VALUE"""),1.4860360660000002E7)</f>
        <v>14860360.66</v>
      </c>
      <c r="E49" s="6" t="s">
        <v>79</v>
      </c>
      <c r="F49" s="8">
        <v>216630.24</v>
      </c>
      <c r="J49" s="6" t="s">
        <v>66</v>
      </c>
      <c r="K49" s="8">
        <v>245584.9</v>
      </c>
      <c r="L49" s="9"/>
      <c r="M49" s="13"/>
      <c r="Q49" s="9" t="str">
        <f>IFERROR(__xludf.DUMMYFUNCTION("""COMPUTED_VALUE"""),"Ghana")</f>
        <v>Ghana</v>
      </c>
      <c r="R49" s="9">
        <f>IFERROR(__xludf.DUMMYFUNCTION("""COMPUTED_VALUE"""),5500.0)</f>
        <v>5500</v>
      </c>
      <c r="T49" s="9">
        <f>IFERROR(__xludf.DUMMYFUNCTION("""COMPUTED_VALUE"""),2007.0)</f>
        <v>2007</v>
      </c>
      <c r="U49" s="9">
        <f>IFERROR(__xludf.DUMMYFUNCTION("""COMPUTED_VALUE"""),2249011.0)</f>
        <v>2249011</v>
      </c>
      <c r="V49" s="9">
        <f>IFERROR(__xludf.DUMMYFUNCTION("""COMPUTED_VALUE"""),2573368.0)</f>
        <v>2573368</v>
      </c>
      <c r="Y49" s="9" t="s">
        <v>79</v>
      </c>
      <c r="Z49" s="9">
        <f t="array" ref="Z49">SUMIFS(cleaned!D49:D7522, cleaned!B49:B7522, dimension!A49:A130, cleaned!C49:C7522, 1976)</f>
        <v>923</v>
      </c>
    </row>
    <row r="50">
      <c r="B50" s="6">
        <f>IFERROR(__xludf.DUMMYFUNCTION("""COMPUTED_VALUE"""),2006.0)</f>
        <v>2006</v>
      </c>
      <c r="C50" s="7">
        <f>IFERROR(__xludf.DUMMYFUNCTION("""COMPUTED_VALUE"""),1.6344215089999996E7)</f>
        <v>16344215.09</v>
      </c>
      <c r="E50" s="6" t="s">
        <v>80</v>
      </c>
      <c r="F50" s="8">
        <v>8973.279999999999</v>
      </c>
      <c r="J50" s="6" t="s">
        <v>73</v>
      </c>
      <c r="K50" s="8">
        <v>240478.46</v>
      </c>
      <c r="L50" s="9"/>
      <c r="M50" s="13"/>
      <c r="Q50" s="9" t="str">
        <f>IFERROR(__xludf.DUMMYFUNCTION("""COMPUTED_VALUE"""),"Equatorial Guinea")</f>
        <v>Equatorial Guinea</v>
      </c>
      <c r="R50" s="9">
        <f>IFERROR(__xludf.DUMMYFUNCTION("""COMPUTED_VALUE"""),5400.0)</f>
        <v>5400</v>
      </c>
      <c r="T50" s="9">
        <f>IFERROR(__xludf.DUMMYFUNCTION("""COMPUTED_VALUE"""),2008.0)</f>
        <v>2008</v>
      </c>
      <c r="U50" s="9">
        <f>IFERROR(__xludf.DUMMYFUNCTION("""COMPUTED_VALUE"""),2796927.0)</f>
        <v>2796927</v>
      </c>
      <c r="V50" s="9">
        <f>IFERROR(__xludf.DUMMYFUNCTION("""COMPUTED_VALUE"""),2610524.0)</f>
        <v>2610524</v>
      </c>
      <c r="Y50" s="9" t="s">
        <v>80</v>
      </c>
      <c r="Z50" s="9">
        <f t="array" ref="Z50">SUMIFS(cleaned!D50:D7522, cleaned!B50:B7522, dimension!A50:A131, cleaned!C50:C7522, 1976)</f>
        <v>0</v>
      </c>
    </row>
    <row r="51">
      <c r="B51" s="6">
        <f>IFERROR(__xludf.DUMMYFUNCTION("""COMPUTED_VALUE"""),2007.0)</f>
        <v>2007</v>
      </c>
      <c r="C51" s="7">
        <f>IFERROR(__xludf.DUMMYFUNCTION("""COMPUTED_VALUE"""),1.632742598E7)</f>
        <v>16327425.98</v>
      </c>
      <c r="E51" s="6" t="s">
        <v>81</v>
      </c>
      <c r="F51" s="8">
        <v>32092.329999999994</v>
      </c>
      <c r="J51" s="6" t="s">
        <v>79</v>
      </c>
      <c r="K51" s="8">
        <v>216630.24</v>
      </c>
      <c r="L51" s="9"/>
      <c r="M51" s="13"/>
      <c r="Q51" s="9" t="str">
        <f>IFERROR(__xludf.DUMMYFUNCTION("""COMPUTED_VALUE"""),"Sierra Leone")</f>
        <v>Sierra Leone</v>
      </c>
      <c r="R51" s="9">
        <f>IFERROR(__xludf.DUMMYFUNCTION("""COMPUTED_VALUE"""),4702.0)</f>
        <v>4702</v>
      </c>
      <c r="T51" s="9">
        <f>IFERROR(__xludf.DUMMYFUNCTION("""COMPUTED_VALUE"""),2009.0)</f>
        <v>2009</v>
      </c>
      <c r="U51" s="9">
        <f>IFERROR(__xludf.DUMMYFUNCTION("""COMPUTED_VALUE"""),2440056.0)</f>
        <v>2440056</v>
      </c>
      <c r="V51" s="9">
        <f>IFERROR(__xludf.DUMMYFUNCTION("""COMPUTED_VALUE"""),2647504.0)</f>
        <v>2647504</v>
      </c>
      <c r="Y51" s="9" t="s">
        <v>81</v>
      </c>
      <c r="Z51" s="9">
        <f t="array" ref="Z51">SUMIFS(cleaned!D51:D7522, cleaned!B51:B7522, dimension!A51:A132, cleaned!C51:C7522, 1976)</f>
        <v>1500</v>
      </c>
    </row>
    <row r="52">
      <c r="B52" s="6">
        <f>IFERROR(__xludf.DUMMYFUNCTION("""COMPUTED_VALUE"""),2008.0)</f>
        <v>2008</v>
      </c>
      <c r="C52" s="7">
        <f>IFERROR(__xludf.DUMMYFUNCTION("""COMPUTED_VALUE"""),1.704136287E7)</f>
        <v>17041362.87</v>
      </c>
      <c r="E52" s="6" t="s">
        <v>43</v>
      </c>
      <c r="F52" s="8">
        <v>4279110.299999999</v>
      </c>
      <c r="J52" s="6" t="s">
        <v>82</v>
      </c>
      <c r="K52" s="8">
        <v>202188.96</v>
      </c>
      <c r="L52" s="9"/>
      <c r="M52" s="13"/>
      <c r="Q52" s="9" t="str">
        <f>IFERROR(__xludf.DUMMYFUNCTION("""COMPUTED_VALUE"""),"Panama")</f>
        <v>Panama</v>
      </c>
      <c r="R52" s="9">
        <f>IFERROR(__xludf.DUMMYFUNCTION("""COMPUTED_VALUE"""),4677.0)</f>
        <v>4677</v>
      </c>
      <c r="T52" s="9">
        <f>IFERROR(__xludf.DUMMYFUNCTION("""COMPUTED_VALUE"""),2010.0)</f>
        <v>2010</v>
      </c>
      <c r="U52" s="9">
        <f>IFERROR(__xludf.DUMMYFUNCTION("""COMPUTED_VALUE"""),2907265.0)</f>
        <v>2907265</v>
      </c>
      <c r="V52" s="9">
        <f>IFERROR(__xludf.DUMMYFUNCTION("""COMPUTED_VALUE"""),2684508.0)</f>
        <v>2684508</v>
      </c>
      <c r="Y52" s="9" t="s">
        <v>43</v>
      </c>
      <c r="Z52" s="9">
        <f t="array" ref="Z52">SUMIFS(cleaned!D52:D7522, cleaned!B52:B7522, dimension!A52:A133, cleaned!C52:C7522, 1976)</f>
        <v>56580</v>
      </c>
    </row>
    <row r="53">
      <c r="B53" s="6">
        <f>IFERROR(__xludf.DUMMYFUNCTION("""COMPUTED_VALUE"""),2009.0)</f>
        <v>2009</v>
      </c>
      <c r="C53" s="7">
        <f>IFERROR(__xludf.DUMMYFUNCTION("""COMPUTED_VALUE"""),1.5615958420000004E7)</f>
        <v>15615958.42</v>
      </c>
      <c r="E53" s="6" t="s">
        <v>83</v>
      </c>
      <c r="F53" s="8">
        <v>187359.92000000004</v>
      </c>
      <c r="J53" s="6" t="s">
        <v>83</v>
      </c>
      <c r="K53" s="8">
        <v>187359.92000000004</v>
      </c>
      <c r="L53" s="9"/>
      <c r="M53" s="13"/>
      <c r="Q53" s="9" t="str">
        <f>IFERROR(__xludf.DUMMYFUNCTION("""COMPUTED_VALUE"""),"Zimbabwe")</f>
        <v>Zimbabwe</v>
      </c>
      <c r="R53" s="9">
        <f>IFERROR(__xludf.DUMMYFUNCTION("""COMPUTED_VALUE"""),4639.0)</f>
        <v>4639</v>
      </c>
      <c r="T53" s="9">
        <f>IFERROR(__xludf.DUMMYFUNCTION("""COMPUTED_VALUE"""),2011.0)</f>
        <v>2011</v>
      </c>
      <c r="U53" s="9">
        <f>IFERROR(__xludf.DUMMYFUNCTION("""COMPUTED_VALUE"""),2700540.0)</f>
        <v>2700540</v>
      </c>
      <c r="V53" s="9">
        <f>IFERROR(__xludf.DUMMYFUNCTION("""COMPUTED_VALUE"""),2700540.0)</f>
        <v>2700540</v>
      </c>
      <c r="Y53" s="9" t="s">
        <v>83</v>
      </c>
      <c r="Z53" s="9">
        <f t="array" ref="Z53">SUMIFS(cleaned!D53:D7522, cleaned!B53:B7522, dimension!A53:A134, cleaned!C53:C7522, 1976)</f>
        <v>3000</v>
      </c>
    </row>
    <row r="54">
      <c r="B54" s="6">
        <f>IFERROR(__xludf.DUMMYFUNCTION("""COMPUTED_VALUE"""),2010.0)</f>
        <v>2010</v>
      </c>
      <c r="C54" s="7">
        <f>IFERROR(__xludf.DUMMYFUNCTION("""COMPUTED_VALUE"""),1.697341564E7)</f>
        <v>16973415.64</v>
      </c>
      <c r="E54" s="6" t="s">
        <v>71</v>
      </c>
      <c r="F54" s="8">
        <v>535592.51</v>
      </c>
      <c r="J54" s="6" t="s">
        <v>59</v>
      </c>
      <c r="K54" s="8">
        <v>158420.44</v>
      </c>
      <c r="L54" s="9"/>
      <c r="M54" s="13"/>
      <c r="Q54" s="9" t="str">
        <f>IFERROR(__xludf.DUMMYFUNCTION("""COMPUTED_VALUE"""),"Liberia")</f>
        <v>Liberia</v>
      </c>
      <c r="R54" s="9">
        <f>IFERROR(__xludf.DUMMYFUNCTION("""COMPUTED_VALUE"""),4238.0)</f>
        <v>4238</v>
      </c>
      <c r="T54" s="9">
        <f>IFERROR(__xludf.DUMMYFUNCTION("""COMPUTED_VALUE"""),2012.0)</f>
        <v>2012</v>
      </c>
      <c r="U54" s="9">
        <f>IFERROR(__xludf.DUMMYFUNCTION("""COMPUTED_VALUE"""),3037534.0)</f>
        <v>3037534</v>
      </c>
      <c r="V54" s="9">
        <f>IFERROR(__xludf.DUMMYFUNCTION("""COMPUTED_VALUE"""),2796927.0)</f>
        <v>2796927</v>
      </c>
      <c r="Y54" s="9" t="s">
        <v>71</v>
      </c>
      <c r="Z54" s="9">
        <f t="array" ref="Z54">SUMIFS(cleaned!D54:D7522, cleaned!B54:B7522, dimension!A54:A135, cleaned!C54:C7522, 1976)</f>
        <v>4677</v>
      </c>
    </row>
    <row r="55">
      <c r="B55" s="6">
        <f>IFERROR(__xludf.DUMMYFUNCTION("""COMPUTED_VALUE"""),2011.0)</f>
        <v>2011</v>
      </c>
      <c r="C55" s="7">
        <f>IFERROR(__xludf.DUMMYFUNCTION("""COMPUTED_VALUE"""),1.6955285459999997E7)</f>
        <v>16955285.46</v>
      </c>
      <c r="E55" s="6" t="s">
        <v>55</v>
      </c>
      <c r="F55" s="8">
        <v>3060184.9099999997</v>
      </c>
      <c r="J55" s="6" t="s">
        <v>84</v>
      </c>
      <c r="K55" s="8">
        <v>144022.0</v>
      </c>
      <c r="L55" s="9"/>
      <c r="M55" s="13"/>
      <c r="Q55" s="9" t="str">
        <f>IFERROR(__xludf.DUMMYFUNCTION("""COMPUTED_VALUE"""),"China")</f>
        <v>China</v>
      </c>
      <c r="R55" s="9">
        <f>IFERROR(__xludf.DUMMYFUNCTION("""COMPUTED_VALUE"""),4000.0)</f>
        <v>4000</v>
      </c>
      <c r="T55" s="9">
        <f>IFERROR(__xludf.DUMMYFUNCTION("""COMPUTED_VALUE"""),2013.0)</f>
        <v>2013</v>
      </c>
      <c r="U55" s="9">
        <f>IFERROR(__xludf.DUMMYFUNCTION("""COMPUTED_VALUE"""),2964538.0)</f>
        <v>2964538</v>
      </c>
      <c r="V55" s="9">
        <f>IFERROR(__xludf.DUMMYFUNCTION("""COMPUTED_VALUE"""),2804070.0)</f>
        <v>2804070</v>
      </c>
      <c r="Y55" s="9" t="s">
        <v>55</v>
      </c>
      <c r="Z55" s="9">
        <f t="array" ref="Z55">SUMIFS(cleaned!D55:D7522, cleaned!B55:B7522, dimension!A55:A136, cleaned!C55:C7522, 1976)</f>
        <v>39466</v>
      </c>
    </row>
    <row r="56">
      <c r="B56" s="6">
        <f>IFERROR(__xludf.DUMMYFUNCTION("""COMPUTED_VALUE"""),2012.0)</f>
        <v>2012</v>
      </c>
      <c r="C56" s="7">
        <f>IFERROR(__xludf.DUMMYFUNCTION("""COMPUTED_VALUE"""),1.798926054E7)</f>
        <v>17989260.54</v>
      </c>
      <c r="E56" s="6" t="s">
        <v>75</v>
      </c>
      <c r="F56" s="8">
        <v>374990.32</v>
      </c>
      <c r="J56" s="6" t="s">
        <v>37</v>
      </c>
      <c r="K56" s="8">
        <v>142309.91999999998</v>
      </c>
      <c r="L56" s="9"/>
      <c r="M56" s="13"/>
      <c r="Q56" s="9" t="str">
        <f>IFERROR(__xludf.DUMMYFUNCTION("""COMPUTED_VALUE"""),"Paraguay")</f>
        <v>Paraguay</v>
      </c>
      <c r="R56" s="9">
        <f>IFERROR(__xludf.DUMMYFUNCTION("""COMPUTED_VALUE"""),3910.0)</f>
        <v>3910</v>
      </c>
      <c r="T56" s="9">
        <f>IFERROR(__xludf.DUMMYFUNCTION("""COMPUTED_VALUE"""),2014.0)</f>
        <v>2014</v>
      </c>
      <c r="U56" s="9">
        <f>IFERROR(__xludf.DUMMYFUNCTION("""COMPUTED_VALUE"""),2804070.0)</f>
        <v>2804070</v>
      </c>
      <c r="V56" s="9">
        <f>IFERROR(__xludf.DUMMYFUNCTION("""COMPUTED_VALUE"""),2907265.0)</f>
        <v>2907265</v>
      </c>
      <c r="Y56" s="9" t="s">
        <v>75</v>
      </c>
      <c r="Z56" s="9">
        <f t="array" ref="Z56">SUMIFS(cleaned!D56:D7522, cleaned!B56:B7522, dimension!A56:A137, cleaned!C56:C7522, 1976)</f>
        <v>3910</v>
      </c>
    </row>
    <row r="57">
      <c r="B57" s="6">
        <f>IFERROR(__xludf.DUMMYFUNCTION("""COMPUTED_VALUE"""),2013.0)</f>
        <v>2013</v>
      </c>
      <c r="C57" s="7">
        <f>IFERROR(__xludf.DUMMYFUNCTION("""COMPUTED_VALUE"""),1.772798256E7)</f>
        <v>17727982.56</v>
      </c>
      <c r="E57" s="6" t="s">
        <v>34</v>
      </c>
      <c r="F57" s="8">
        <v>1.0243686799999999E7</v>
      </c>
      <c r="J57" s="6" t="s">
        <v>85</v>
      </c>
      <c r="K57" s="8">
        <v>95863.73999999999</v>
      </c>
      <c r="L57" s="9"/>
      <c r="M57" s="13"/>
      <c r="Q57" s="9" t="str">
        <f>IFERROR(__xludf.DUMMYFUNCTION("""COMPUTED_VALUE"""),"Yemen")</f>
        <v>Yemen</v>
      </c>
      <c r="R57" s="9">
        <f>IFERROR(__xludf.DUMMYFUNCTION("""COMPUTED_VALUE"""),3810.0)</f>
        <v>3810</v>
      </c>
      <c r="T57" s="9">
        <f>IFERROR(__xludf.DUMMYFUNCTION("""COMPUTED_VALUE"""),2015.0)</f>
        <v>2015</v>
      </c>
      <c r="U57" s="9">
        <f>IFERROR(__xludf.DUMMYFUNCTION("""COMPUTED_VALUE"""),2647504.0)</f>
        <v>2647504</v>
      </c>
      <c r="V57" s="9">
        <f>IFERROR(__xludf.DUMMYFUNCTION("""COMPUTED_VALUE"""),2964538.0)</f>
        <v>2964538</v>
      </c>
      <c r="Y57" s="9" t="s">
        <v>34</v>
      </c>
      <c r="Z57" s="9">
        <f t="array" ref="Z57">SUMIFS(cleaned!D57:D7522, cleaned!B57:B7522, dimension!A57:A138, cleaned!C57:C7522, 1976)</f>
        <v>65445</v>
      </c>
    </row>
    <row r="58">
      <c r="B58" s="6">
        <f>IFERROR(__xludf.DUMMYFUNCTION("""COMPUTED_VALUE"""),2014.0)</f>
        <v>2014</v>
      </c>
      <c r="C58" s="7">
        <f>IFERROR(__xludf.DUMMYFUNCTION("""COMPUTED_VALUE"""),1.76572655E7)</f>
        <v>17657265.5</v>
      </c>
      <c r="E58" s="6" t="s">
        <v>40</v>
      </c>
      <c r="F58" s="8">
        <v>5852956.01</v>
      </c>
      <c r="J58" s="6" t="s">
        <v>78</v>
      </c>
      <c r="K58" s="8">
        <v>57353.270000000004</v>
      </c>
      <c r="L58" s="9"/>
      <c r="M58" s="13"/>
      <c r="Q58" s="9" t="str">
        <f>IFERROR(__xludf.DUMMYFUNCTION("""COMPUTED_VALUE"""),"Nigeria")</f>
        <v>Nigeria</v>
      </c>
      <c r="R58" s="9">
        <f>IFERROR(__xludf.DUMMYFUNCTION("""COMPUTED_VALUE"""),3000.0)</f>
        <v>3000</v>
      </c>
      <c r="T58" s="9">
        <f>IFERROR(__xludf.DUMMYFUNCTION("""COMPUTED_VALUE"""),2016.0)</f>
        <v>2016</v>
      </c>
      <c r="U58" s="9">
        <f>IFERROR(__xludf.DUMMYFUNCTION("""COMPUTED_VALUE"""),3024466.0)</f>
        <v>3024466</v>
      </c>
      <c r="V58" s="9">
        <f>IFERROR(__xludf.DUMMYFUNCTION("""COMPUTED_VALUE"""),2985581.0)</f>
        <v>2985581</v>
      </c>
      <c r="Y58" s="9" t="s">
        <v>40</v>
      </c>
      <c r="Z58" s="9">
        <f t="array" ref="Z58">SUMIFS(cleaned!D58:D7522, cleaned!B58:B7522, dimension!A58:A139, cleaned!C58:C7522, 1976)</f>
        <v>80800</v>
      </c>
    </row>
    <row r="59">
      <c r="B59" s="6">
        <f>IFERROR(__xludf.DUMMYFUNCTION("""COMPUTED_VALUE"""),2015.0)</f>
        <v>2015</v>
      </c>
      <c r="C59" s="7">
        <f>IFERROR(__xludf.DUMMYFUNCTION("""COMPUTED_VALUE"""),1.8178023890000004E7)</f>
        <v>18178023.89</v>
      </c>
      <c r="E59" s="6" t="s">
        <v>69</v>
      </c>
      <c r="F59" s="8">
        <v>627659.1000000002</v>
      </c>
      <c r="J59" s="6" t="s">
        <v>12</v>
      </c>
      <c r="K59" s="8">
        <v>39267.640000000014</v>
      </c>
      <c r="L59" s="9"/>
      <c r="M59" s="13"/>
      <c r="Q59" s="9" t="str">
        <f>IFERROR(__xludf.DUMMYFUNCTION("""COMPUTED_VALUE"""),"Laos")</f>
        <v>Laos</v>
      </c>
      <c r="R59" s="9">
        <f>IFERROR(__xludf.DUMMYFUNCTION("""COMPUTED_VALUE"""),2780.0)</f>
        <v>2780</v>
      </c>
      <c r="T59" s="9">
        <f>IFERROR(__xludf.DUMMYFUNCTION("""COMPUTED_VALUE"""),2017.0)</f>
        <v>2017</v>
      </c>
      <c r="U59" s="9">
        <f>IFERROR(__xludf.DUMMYFUNCTION("""COMPUTED_VALUE"""),2684508.0)</f>
        <v>2684508</v>
      </c>
      <c r="V59" s="9">
        <f>IFERROR(__xludf.DUMMYFUNCTION("""COMPUTED_VALUE"""),3011745.0)</f>
        <v>3011745</v>
      </c>
      <c r="Y59" s="9" t="s">
        <v>69</v>
      </c>
      <c r="Z59" s="9">
        <f t="array" ref="Z59">SUMIFS(cleaned!D59:D7522, cleaned!B59:B7522, dimension!A59:A140, cleaned!C59:C7522, 1976)</f>
        <v>11428</v>
      </c>
    </row>
    <row r="60">
      <c r="B60" s="6">
        <f>IFERROR(__xludf.DUMMYFUNCTION("""COMPUTED_VALUE"""),2016.0)</f>
        <v>2016</v>
      </c>
      <c r="C60" s="7">
        <f>IFERROR(__xludf.DUMMYFUNCTION("""COMPUTED_VALUE"""),1.9154413150000002E7)</f>
        <v>19154413.15</v>
      </c>
      <c r="E60" s="6" t="s">
        <v>64</v>
      </c>
      <c r="F60" s="8">
        <v>1358374.0199999998</v>
      </c>
      <c r="J60" s="6" t="s">
        <v>62</v>
      </c>
      <c r="K60" s="8">
        <v>38721.0</v>
      </c>
      <c r="L60" s="9"/>
      <c r="M60" s="13"/>
      <c r="Q60" s="9" t="str">
        <f>IFERROR(__xludf.DUMMYFUNCTION("""COMPUTED_VALUE"""),"Trinidad and Tobago")</f>
        <v>Trinidad and Tobago</v>
      </c>
      <c r="R60" s="9">
        <f>IFERROR(__xludf.DUMMYFUNCTION("""COMPUTED_VALUE"""),2671.0)</f>
        <v>2671</v>
      </c>
      <c r="T60" s="9">
        <f>IFERROR(__xludf.DUMMYFUNCTION("""COMPUTED_VALUE"""),2018.0)</f>
        <v>2018</v>
      </c>
      <c r="U60" s="9">
        <f>IFERROR(__xludf.DUMMYFUNCTION("""COMPUTED_VALUE"""),3552729.0)</f>
        <v>3552729</v>
      </c>
      <c r="V60" s="9">
        <f>IFERROR(__xludf.DUMMYFUNCTION("""COMPUTED_VALUE"""),3024466.0)</f>
        <v>3024466</v>
      </c>
      <c r="Y60" s="9" t="s">
        <v>64</v>
      </c>
      <c r="Z60" s="9">
        <f t="array" ref="Z60">SUMIFS(cleaned!D60:D7522, cleaned!B60:B7522, dimension!A60:A141, cleaned!C60:C7522, 1976)</f>
        <v>20334</v>
      </c>
    </row>
    <row r="61">
      <c r="B61" s="6">
        <f>IFERROR(__xludf.DUMMYFUNCTION("""COMPUTED_VALUE"""),2017.0)</f>
        <v>2017</v>
      </c>
      <c r="C61" s="7">
        <f>IFERROR(__xludf.DUMMYFUNCTION("""COMPUTED_VALUE"""),1.922620717E7)</f>
        <v>19226207.17</v>
      </c>
      <c r="E61" s="6" t="s">
        <v>86</v>
      </c>
      <c r="F61" s="8">
        <v>597.0</v>
      </c>
      <c r="J61" s="6" t="s">
        <v>57</v>
      </c>
      <c r="K61" s="8">
        <v>35257.580000000016</v>
      </c>
      <c r="L61" s="9"/>
      <c r="M61" s="13"/>
      <c r="Q61" s="9" t="str">
        <f>IFERROR(__xludf.DUMMYFUNCTION("""COMPUTED_VALUE"""),"Congo")</f>
        <v>Congo</v>
      </c>
      <c r="R61" s="9">
        <f>IFERROR(__xludf.DUMMYFUNCTION("""COMPUTED_VALUE"""),2160.0)</f>
        <v>2160</v>
      </c>
      <c r="T61" s="9">
        <f>IFERROR(__xludf.DUMMYFUNCTION("""COMPUTED_VALUE"""),2019.0)</f>
        <v>2019</v>
      </c>
      <c r="U61" s="9">
        <f>IFERROR(__xludf.DUMMYFUNCTION("""COMPUTED_VALUE"""),3011745.0)</f>
        <v>3011745</v>
      </c>
      <c r="V61" s="9">
        <f>IFERROR(__xludf.DUMMYFUNCTION("""COMPUTED_VALUE"""),3037534.0)</f>
        <v>3037534</v>
      </c>
      <c r="Y61" s="9" t="s">
        <v>86</v>
      </c>
      <c r="Z61" s="9">
        <f t="array" ref="Z61">SUMIFS(cleaned!D61:D7522, cleaned!B61:B7522, dimension!A61:A142, cleaned!C61:C7522, 1976)</f>
        <v>21</v>
      </c>
    </row>
    <row r="62">
      <c r="B62" s="6">
        <f>IFERROR(__xludf.DUMMYFUNCTION("""COMPUTED_VALUE"""),2018.0)</f>
        <v>2018</v>
      </c>
      <c r="C62" s="7">
        <f>IFERROR(__xludf.DUMMYFUNCTION("""COMPUTED_VALUE"""),2.1709191169999994E7)</f>
        <v>21709191.17</v>
      </c>
      <c r="E62" s="6" t="s">
        <v>87</v>
      </c>
      <c r="F62" s="8">
        <v>8914.89</v>
      </c>
      <c r="J62" s="6" t="s">
        <v>81</v>
      </c>
      <c r="K62" s="8">
        <v>32092.329999999994</v>
      </c>
      <c r="L62" s="9"/>
      <c r="M62" s="13"/>
      <c r="Q62" s="9" t="str">
        <f>IFERROR(__xludf.DUMMYFUNCTION("""COMPUTED_VALUE"""),"Jamaica")</f>
        <v>Jamaica</v>
      </c>
      <c r="R62" s="9">
        <f>IFERROR(__xludf.DUMMYFUNCTION("""COMPUTED_VALUE"""),1929.0)</f>
        <v>1929</v>
      </c>
      <c r="T62" s="9">
        <f>IFERROR(__xludf.DUMMYFUNCTION("""COMPUTED_VALUE"""),2020.0)</f>
        <v>2020</v>
      </c>
      <c r="U62" s="9">
        <f>IFERROR(__xludf.DUMMYFUNCTION("""COMPUTED_VALUE"""),3705719.0)</f>
        <v>3705719</v>
      </c>
      <c r="V62" s="9">
        <f>IFERROR(__xludf.DUMMYFUNCTION("""COMPUTED_VALUE"""),3179341.0)</f>
        <v>3179341</v>
      </c>
      <c r="Y62" s="9" t="s">
        <v>87</v>
      </c>
      <c r="Z62" s="9">
        <f t="array" ref="Z62">SUMIFS(cleaned!D62:D7522, cleaned!B62:B7522, dimension!A62:A143, cleaned!C62:C7522, 1976)</f>
        <v>100</v>
      </c>
    </row>
    <row r="63">
      <c r="B63" s="6">
        <f>IFERROR(__xludf.DUMMYFUNCTION("""COMPUTED_VALUE"""),2019.0)</f>
        <v>2019</v>
      </c>
      <c r="C63" s="7">
        <f>IFERROR(__xludf.DUMMYFUNCTION("""COMPUTED_VALUE"""),2.1167998919999998E7)</f>
        <v>21167998.92</v>
      </c>
      <c r="E63" s="6" t="s">
        <v>88</v>
      </c>
      <c r="F63" s="8">
        <v>2336.2999999999997</v>
      </c>
      <c r="J63" s="6" t="s">
        <v>74</v>
      </c>
      <c r="K63" s="8">
        <v>23551.89</v>
      </c>
      <c r="L63" s="9"/>
      <c r="M63" s="13"/>
      <c r="Q63" s="9" t="str">
        <f>IFERROR(__xludf.DUMMYFUNCTION("""COMPUTED_VALUE"""),"New Caledonia")</f>
        <v>New Caledonia</v>
      </c>
      <c r="R63" s="9">
        <f>IFERROR(__xludf.DUMMYFUNCTION("""COMPUTED_VALUE"""),1500.0)</f>
        <v>1500</v>
      </c>
      <c r="T63" s="9">
        <f>IFERROR(__xludf.DUMMYFUNCTION("""COMPUTED_VALUE"""),2021.0)</f>
        <v>2021</v>
      </c>
      <c r="U63" s="9">
        <f>IFERROR(__xludf.DUMMYFUNCTION("""COMPUTED_VALUE"""),2985581.0)</f>
        <v>2985581</v>
      </c>
      <c r="V63" s="9">
        <f>IFERROR(__xludf.DUMMYFUNCTION("""COMPUTED_VALUE"""),3348510.0)</f>
        <v>3348510</v>
      </c>
      <c r="Y63" s="9" t="s">
        <v>88</v>
      </c>
      <c r="Z63" s="9">
        <f t="array" ref="Z63">SUMIFS(cleaned!D63:D7522, cleaned!B63:B7522, dimension!A63:A144, cleaned!C63:C7522, 1976)</f>
        <v>20</v>
      </c>
    </row>
    <row r="64">
      <c r="B64" s="6">
        <f>IFERROR(__xludf.DUMMYFUNCTION("""COMPUTED_VALUE"""),2020.0)</f>
        <v>2020</v>
      </c>
      <c r="C64" s="7">
        <f>IFERROR(__xludf.DUMMYFUNCTION("""COMPUTED_VALUE"""),2.251805855E7)</f>
        <v>22518058.55</v>
      </c>
      <c r="E64" s="6" t="s">
        <v>89</v>
      </c>
      <c r="F64" s="8">
        <v>3589.96</v>
      </c>
      <c r="J64" s="6" t="s">
        <v>24</v>
      </c>
      <c r="K64" s="8">
        <v>17504.14</v>
      </c>
      <c r="L64" s="9"/>
      <c r="M64" s="13"/>
      <c r="Q64" s="9" t="str">
        <f>IFERROR(__xludf.DUMMYFUNCTION("""COMPUTED_VALUE"""),"Mozambique")</f>
        <v>Mozambique</v>
      </c>
      <c r="R64" s="9">
        <f>IFERROR(__xludf.DUMMYFUNCTION("""COMPUTED_VALUE"""),1000.0)</f>
        <v>1000</v>
      </c>
      <c r="T64" s="9">
        <f>IFERROR(__xludf.DUMMYFUNCTION("""COMPUTED_VALUE"""),2022.0)</f>
        <v>2022</v>
      </c>
      <c r="U64" s="9">
        <f>IFERROR(__xludf.DUMMYFUNCTION("""COMPUTED_VALUE"""),3179341.0)</f>
        <v>3179341</v>
      </c>
      <c r="V64" s="9">
        <f>IFERROR(__xludf.DUMMYFUNCTION("""COMPUTED_VALUE"""),3387724.0)</f>
        <v>3387724</v>
      </c>
      <c r="Y64" s="9" t="s">
        <v>89</v>
      </c>
      <c r="Z64" s="9">
        <f t="array" ref="Z64">SUMIFS(cleaned!D64:D7522, cleaned!B64:B7522, dimension!A64:A145, cleaned!C64:C7522, 1976)</f>
        <v>45</v>
      </c>
    </row>
    <row r="65">
      <c r="B65" s="6">
        <f>IFERROR(__xludf.DUMMYFUNCTION("""COMPUTED_VALUE"""),2021.0)</f>
        <v>2021</v>
      </c>
      <c r="C65" s="7">
        <f>IFERROR(__xludf.DUMMYFUNCTION("""COMPUTED_VALUE"""),2.1191395790000003E7)</f>
        <v>21191395.79</v>
      </c>
      <c r="E65" s="6" t="s">
        <v>90</v>
      </c>
      <c r="F65" s="8">
        <v>5882.34</v>
      </c>
      <c r="J65" s="6" t="s">
        <v>46</v>
      </c>
      <c r="K65" s="8">
        <v>12363.019999999999</v>
      </c>
      <c r="L65" s="9"/>
      <c r="M65" s="13"/>
      <c r="Q65" s="9" t="str">
        <f>IFERROR(__xludf.DUMMYFUNCTION("""COMPUTED_VALUE"""),"Myanmar")</f>
        <v>Myanmar</v>
      </c>
      <c r="R65" s="9">
        <f>IFERROR(__xludf.DUMMYFUNCTION("""COMPUTED_VALUE"""),923.0)</f>
        <v>923</v>
      </c>
      <c r="T65" s="9">
        <f>IFERROR(__xludf.DUMMYFUNCTION("""COMPUTED_VALUE"""),2023.0)</f>
        <v>2023</v>
      </c>
      <c r="U65" s="9">
        <f>IFERROR(__xludf.DUMMYFUNCTION("""COMPUTED_VALUE"""),3348510.0)</f>
        <v>3348510</v>
      </c>
      <c r="V65" s="9">
        <f>IFERROR(__xludf.DUMMYFUNCTION("""COMPUTED_VALUE"""),3552729.0)</f>
        <v>3552729</v>
      </c>
      <c r="Y65" s="9" t="s">
        <v>90</v>
      </c>
      <c r="Z65" s="9">
        <f t="array" ref="Z65">SUMIFS(cleaned!D65:D7522, cleaned!B65:B7522, dimension!A65:A146, cleaned!C65:C7522, 1976)</f>
        <v>180</v>
      </c>
    </row>
    <row r="66">
      <c r="B66" s="6">
        <f>IFERROR(__xludf.DUMMYFUNCTION("""COMPUTED_VALUE"""),2022.0)</f>
        <v>2022</v>
      </c>
      <c r="C66" s="7">
        <f>IFERROR(__xludf.DUMMYFUNCTION("""COMPUTED_VALUE"""),2.2016418119999997E7)</f>
        <v>22016418.12</v>
      </c>
      <c r="E66" s="6" t="s">
        <v>65</v>
      </c>
      <c r="F66" s="8">
        <v>905539.8000000002</v>
      </c>
      <c r="J66" s="6" t="s">
        <v>91</v>
      </c>
      <c r="K66" s="8">
        <v>10413.29</v>
      </c>
      <c r="L66" s="9"/>
      <c r="M66" s="13"/>
      <c r="Q66" s="9" t="str">
        <f>IFERROR(__xludf.DUMMYFUNCTION("""COMPUTED_VALUE"""),"Guyana")</f>
        <v>Guyana</v>
      </c>
      <c r="R66" s="9">
        <f>IFERROR(__xludf.DUMMYFUNCTION("""COMPUTED_VALUE"""),900.0)</f>
        <v>900</v>
      </c>
      <c r="T66" s="9">
        <f>IFERROR(__xludf.DUMMYFUNCTION("""COMPUTED_VALUE"""),2024.0)</f>
        <v>2024</v>
      </c>
      <c r="U66" s="9">
        <f>IFERROR(__xludf.DUMMYFUNCTION("""COMPUTED_VALUE"""),3387724.0)</f>
        <v>3387724</v>
      </c>
      <c r="V66" s="9">
        <f>IFERROR(__xludf.DUMMYFUNCTION("""COMPUTED_VALUE"""),3705719.0)</f>
        <v>3705719</v>
      </c>
      <c r="Y66" s="9" t="s">
        <v>65</v>
      </c>
      <c r="Z66" s="9">
        <f t="array" ref="Z66">SUMIFS(cleaned!D66:D7522, cleaned!B66:B7522, dimension!A66:A147, cleaned!C66:C7522, 1976)</f>
        <v>4702</v>
      </c>
    </row>
    <row r="67">
      <c r="B67" s="6">
        <f>IFERROR(__xludf.DUMMYFUNCTION("""COMPUTED_VALUE"""),2023.0)</f>
        <v>2023</v>
      </c>
      <c r="C67" s="7">
        <f>IFERROR(__xludf.DUMMYFUNCTION("""COMPUTED_VALUE"""),2.2244576639999997E7)</f>
        <v>22244576.64</v>
      </c>
      <c r="E67" s="6" t="s">
        <v>92</v>
      </c>
      <c r="F67" s="8">
        <v>207.0</v>
      </c>
      <c r="J67" s="6" t="s">
        <v>80</v>
      </c>
      <c r="K67" s="8">
        <v>8973.279999999999</v>
      </c>
      <c r="L67" s="9"/>
      <c r="M67" s="13"/>
      <c r="Q67" s="9" t="str">
        <f>IFERROR(__xludf.DUMMYFUNCTION("""COMPUTED_VALUE"""),"Malawi")</f>
        <v>Malawi</v>
      </c>
      <c r="R67" s="9">
        <f>IFERROR(__xludf.DUMMYFUNCTION("""COMPUTED_VALUE"""),880.0)</f>
        <v>880</v>
      </c>
      <c r="Y67" s="9" t="s">
        <v>92</v>
      </c>
      <c r="Z67" s="9">
        <f t="array" ref="Z67">SUMIFS(cleaned!D67:D7522, cleaned!B67:B7522, dimension!A67:A148, cleaned!C67:C7522, 1976)</f>
        <v>8</v>
      </c>
    </row>
    <row r="68">
      <c r="B68" s="10">
        <f>IFERROR(__xludf.DUMMYFUNCTION("""COMPUTED_VALUE"""),2024.0)</f>
        <v>2024</v>
      </c>
      <c r="C68" s="11">
        <f>IFERROR(__xludf.DUMMYFUNCTION("""COMPUTED_VALUE"""),2.2316764419999994E7)</f>
        <v>22316764.42</v>
      </c>
      <c r="E68" s="6" t="s">
        <v>72</v>
      </c>
      <c r="F68" s="8">
        <v>515024.1</v>
      </c>
      <c r="J68" s="6" t="s">
        <v>87</v>
      </c>
      <c r="K68" s="8">
        <v>8914.89</v>
      </c>
      <c r="L68" s="9"/>
      <c r="M68" s="13"/>
      <c r="Q68" s="9" t="str">
        <f>IFERROR(__xludf.DUMMYFUNCTION("""COMPUTED_VALUE"""),"United States")</f>
        <v>United States</v>
      </c>
      <c r="R68" s="9">
        <f>IFERROR(__xludf.DUMMYFUNCTION("""COMPUTED_VALUE"""),770.0)</f>
        <v>770</v>
      </c>
      <c r="Y68" s="9" t="s">
        <v>72</v>
      </c>
      <c r="Z68" s="9">
        <f t="array" ref="Z68">SUMIFS(cleaned!D68:D7522, cleaned!B68:B7522, dimension!A68:A149, cleaned!C68:C7522, 1976)</f>
        <v>8876</v>
      </c>
    </row>
    <row r="69">
      <c r="E69" s="6" t="s">
        <v>93</v>
      </c>
      <c r="F69" s="8">
        <v>5212.99</v>
      </c>
      <c r="J69" s="6" t="s">
        <v>35</v>
      </c>
      <c r="K69" s="8">
        <v>7237.550000000001</v>
      </c>
      <c r="L69" s="9"/>
      <c r="M69" s="13"/>
      <c r="Q69" s="9" t="str">
        <f>IFERROR(__xludf.DUMMYFUNCTION("""COMPUTED_VALUE"""),"Benin")</f>
        <v>Benin</v>
      </c>
      <c r="R69" s="9">
        <f>IFERROR(__xludf.DUMMYFUNCTION("""COMPUTED_VALUE"""),599.0)</f>
        <v>599</v>
      </c>
      <c r="Y69" s="9" t="s">
        <v>93</v>
      </c>
      <c r="Z69" s="9">
        <f t="array" ref="Z69">SUMIFS(cleaned!D69:D7522, cleaned!B69:B7522, dimension!A69:A150, cleaned!C69:C7522, 1976)</f>
        <v>76</v>
      </c>
    </row>
    <row r="70">
      <c r="E70" s="6" t="s">
        <v>91</v>
      </c>
      <c r="F70" s="8">
        <v>10413.29</v>
      </c>
      <c r="J70" s="6" t="s">
        <v>90</v>
      </c>
      <c r="K70" s="8">
        <v>5882.34</v>
      </c>
      <c r="L70" s="9"/>
      <c r="M70" s="13"/>
      <c r="Q70" s="9" t="str">
        <f>IFERROR(__xludf.DUMMYFUNCTION("""COMPUTED_VALUE"""),"Saudi Arabia")</f>
        <v>Saudi Arabia</v>
      </c>
      <c r="R70" s="9">
        <f>IFERROR(__xludf.DUMMYFUNCTION("""COMPUTED_VALUE"""),180.0)</f>
        <v>180</v>
      </c>
      <c r="Y70" s="9" t="s">
        <v>91</v>
      </c>
      <c r="Z70" s="9">
        <f t="array" ref="Z70">SUMIFS(cleaned!D70:D7522, cleaned!B70:B7522, dimension!A70:A151, cleaned!C70:C7522, 1976)</f>
        <v>9</v>
      </c>
    </row>
    <row r="71">
      <c r="E71" s="6" t="s">
        <v>52</v>
      </c>
      <c r="F71" s="8">
        <v>3419867.0</v>
      </c>
      <c r="J71" s="6" t="s">
        <v>60</v>
      </c>
      <c r="K71" s="8">
        <v>5305.499999999999</v>
      </c>
      <c r="L71" s="9"/>
      <c r="M71" s="13"/>
      <c r="Q71" s="9" t="str">
        <f>IFERROR(__xludf.DUMMYFUNCTION("""COMPUTED_VALUE"""),"Cape Verde")</f>
        <v>Cape Verde</v>
      </c>
      <c r="R71" s="9">
        <f>IFERROR(__xludf.DUMMYFUNCTION("""COMPUTED_VALUE"""),168.0)</f>
        <v>168</v>
      </c>
      <c r="Y71" s="9" t="s">
        <v>52</v>
      </c>
      <c r="Z71" s="9">
        <f t="array" ref="Z71">SUMIFS(cleaned!D71:D7522, cleaned!B71:B7522, dimension!A71:A152, cleaned!C71:C7522, 1976)</f>
        <v>43278</v>
      </c>
    </row>
    <row r="72">
      <c r="E72" s="6" t="s">
        <v>61</v>
      </c>
      <c r="F72" s="8">
        <v>2072822.3699999999</v>
      </c>
      <c r="J72" s="6" t="s">
        <v>93</v>
      </c>
      <c r="K72" s="8">
        <v>5212.99</v>
      </c>
      <c r="L72" s="9"/>
      <c r="M72" s="13"/>
      <c r="Q72" s="9" t="str">
        <f>IFERROR(__xludf.DUMMYFUNCTION("""COMPUTED_VALUE"""),"Gabon")</f>
        <v>Gabon</v>
      </c>
      <c r="R72" s="9">
        <f>IFERROR(__xludf.DUMMYFUNCTION("""COMPUTED_VALUE"""),145.0)</f>
        <v>145</v>
      </c>
      <c r="Y72" s="9" t="s">
        <v>61</v>
      </c>
      <c r="Z72" s="9">
        <f t="array" ref="Z72">SUMIFS(cleaned!D72:D7522, cleaned!B72:B7522, dimension!A72:A153, cleaned!C72:C7522, 1976)</f>
        <v>7635</v>
      </c>
    </row>
    <row r="73">
      <c r="E73" s="6" t="s">
        <v>67</v>
      </c>
      <c r="F73" s="8">
        <v>807800.86</v>
      </c>
      <c r="J73" s="6" t="s">
        <v>94</v>
      </c>
      <c r="K73" s="8">
        <v>4178.45</v>
      </c>
      <c r="L73" s="9"/>
      <c r="M73" s="13"/>
      <c r="Q73" s="9" t="str">
        <f>IFERROR(__xludf.DUMMYFUNCTION("""COMPUTED_VALUE"""),"Polynesia")</f>
        <v>Polynesia</v>
      </c>
      <c r="R73" s="9">
        <f>IFERROR(__xludf.DUMMYFUNCTION("""COMPUTED_VALUE"""),124.0)</f>
        <v>124</v>
      </c>
      <c r="Y73" s="9" t="s">
        <v>67</v>
      </c>
      <c r="Z73" s="9">
        <f t="array" ref="Z73">SUMIFS(cleaned!D73:D7522, cleaned!B73:B7522, dimension!A73:A154, cleaned!C73:C7522, 1976)</f>
        <v>8512</v>
      </c>
    </row>
    <row r="74">
      <c r="E74" s="6" t="s">
        <v>95</v>
      </c>
      <c r="F74" s="8">
        <v>614.49</v>
      </c>
      <c r="J74" s="6" t="s">
        <v>89</v>
      </c>
      <c r="K74" s="8">
        <v>3589.96</v>
      </c>
      <c r="L74" s="9"/>
      <c r="M74" s="13"/>
      <c r="Q74" s="9" t="str">
        <f>IFERROR(__xludf.DUMMYFUNCTION("""COMPUTED_VALUE"""),"Guadeloupe")</f>
        <v>Guadeloupe</v>
      </c>
      <c r="R74" s="9">
        <f>IFERROR(__xludf.DUMMYFUNCTION("""COMPUTED_VALUE"""),116.0)</f>
        <v>116</v>
      </c>
      <c r="Y74" s="9" t="s">
        <v>95</v>
      </c>
      <c r="Z74" s="9">
        <f t="array" ref="Z74">SUMIFS(cleaned!D74:D7522, cleaned!B74:B7522, dimension!A74:A155, cleaned!C74:C7522, 1976)</f>
        <v>0</v>
      </c>
    </row>
    <row r="75">
      <c r="E75" s="6" t="s">
        <v>85</v>
      </c>
      <c r="F75" s="8">
        <v>95863.73999999999</v>
      </c>
      <c r="J75" s="6" t="s">
        <v>8</v>
      </c>
      <c r="K75" s="8">
        <v>2974.9100000000008</v>
      </c>
      <c r="L75" s="9"/>
      <c r="M75" s="13"/>
      <c r="Q75" s="9" t="str">
        <f>IFERROR(__xludf.DUMMYFUNCTION("""COMPUTED_VALUE"""),"French Polynesia")</f>
        <v>French Polynesia</v>
      </c>
      <c r="R75" s="9">
        <f>IFERROR(__xludf.DUMMYFUNCTION("""COMPUTED_VALUE"""),102.0)</f>
        <v>102</v>
      </c>
      <c r="Y75" s="9" t="s">
        <v>85</v>
      </c>
      <c r="Z75" s="9">
        <f t="array" ref="Z75">SUMIFS(cleaned!D75:D7522, cleaned!B75:B7522, dimension!A75:A156, cleaned!C75:C7522, 1976)</f>
        <v>2671</v>
      </c>
    </row>
    <row r="76">
      <c r="E76" s="6" t="s">
        <v>27</v>
      </c>
      <c r="F76" s="8">
        <v>1.2696994E7</v>
      </c>
      <c r="J76" s="6" t="s">
        <v>28</v>
      </c>
      <c r="K76" s="8">
        <v>2931.2200000000003</v>
      </c>
      <c r="L76" s="9"/>
      <c r="M76" s="13"/>
      <c r="Q76" s="9" t="str">
        <f>IFERROR(__xludf.DUMMYFUNCTION("""COMPUTED_VALUE"""),"Saint Vincent and the Grenadines")</f>
        <v>Saint Vincent and the Grenadines</v>
      </c>
      <c r="R76" s="9">
        <f>IFERROR(__xludf.DUMMYFUNCTION("""COMPUTED_VALUE"""),100.0)</f>
        <v>100</v>
      </c>
      <c r="Y76" s="9" t="s">
        <v>27</v>
      </c>
      <c r="Z76" s="9">
        <f t="array" ref="Z76">SUMIFS(cleaned!D76:D7522, cleaned!B76:B7522, dimension!A76:A157, cleaned!C76:C7522, 1976)</f>
        <v>137100</v>
      </c>
    </row>
    <row r="77">
      <c r="E77" s="6" t="s">
        <v>84</v>
      </c>
      <c r="F77" s="8">
        <v>144022.0</v>
      </c>
      <c r="J77" s="6" t="s">
        <v>56</v>
      </c>
      <c r="K77" s="8">
        <v>2452.040000000001</v>
      </c>
      <c r="L77" s="9"/>
      <c r="M77" s="13"/>
      <c r="Q77" s="9" t="str">
        <f>IFERROR(__xludf.DUMMYFUNCTION("""COMPUTED_VALUE"""),"Cambodia")</f>
        <v>Cambodia</v>
      </c>
      <c r="R77" s="9">
        <f>IFERROR(__xludf.DUMMYFUNCTION("""COMPUTED_VALUE"""),90.0)</f>
        <v>90</v>
      </c>
      <c r="Y77" s="9" t="s">
        <v>84</v>
      </c>
      <c r="Z77" s="9">
        <f t="array" ref="Z77">SUMIFS(cleaned!D77:D7522, cleaned!B77:B7522, dimension!A77:A158, cleaned!C77:C7522, 1976)</f>
        <v>770</v>
      </c>
    </row>
    <row r="78">
      <c r="E78" s="6" t="s">
        <v>94</v>
      </c>
      <c r="F78" s="8">
        <v>4178.45</v>
      </c>
      <c r="J78" s="6" t="s">
        <v>88</v>
      </c>
      <c r="K78" s="8">
        <v>2336.2999999999997</v>
      </c>
      <c r="L78" s="9"/>
      <c r="M78" s="13"/>
      <c r="Q78" s="9" t="str">
        <f>IFERROR(__xludf.DUMMYFUNCTION("""COMPUTED_VALUE"""),"Suriname")</f>
        <v>Suriname</v>
      </c>
      <c r="R78" s="9">
        <f>IFERROR(__xludf.DUMMYFUNCTION("""COMPUTED_VALUE"""),76.0)</f>
        <v>76</v>
      </c>
      <c r="Y78" s="9" t="s">
        <v>94</v>
      </c>
      <c r="Z78" s="9">
        <f t="array" ref="Z78">SUMIFS(cleaned!D78:D7522, cleaned!B78:B7522, dimension!A78:A159, cleaned!C78:C7522, 1976)</f>
        <v>60</v>
      </c>
    </row>
    <row r="79">
      <c r="E79" s="6" t="s">
        <v>50</v>
      </c>
      <c r="F79" s="8">
        <v>4004490.87</v>
      </c>
      <c r="J79" s="6" t="s">
        <v>95</v>
      </c>
      <c r="K79" s="8">
        <v>614.49</v>
      </c>
      <c r="L79" s="9"/>
      <c r="M79" s="13"/>
      <c r="Q79" s="9" t="str">
        <f>IFERROR(__xludf.DUMMYFUNCTION("""COMPUTED_VALUE"""),"Comoros")</f>
        <v>Comoros</v>
      </c>
      <c r="R79" s="9">
        <f>IFERROR(__xludf.DUMMYFUNCTION("""COMPUTED_VALUE"""),60.0)</f>
        <v>60</v>
      </c>
      <c r="Y79" s="9" t="s">
        <v>50</v>
      </c>
      <c r="Z79" s="9">
        <f t="array" ref="Z79">SUMIFS(cleaned!D79:D7522, cleaned!B79:B7522, dimension!A79:A160, cleaned!C79:C7522, 1976)</f>
        <v>40350</v>
      </c>
    </row>
    <row r="80">
      <c r="E80" s="6" t="s">
        <v>14</v>
      </c>
      <c r="F80" s="8">
        <v>3.57434366E7</v>
      </c>
      <c r="J80" s="6" t="s">
        <v>86</v>
      </c>
      <c r="K80" s="8">
        <v>597.0</v>
      </c>
      <c r="L80" s="9"/>
      <c r="M80" s="13"/>
      <c r="Q80" s="9" t="str">
        <f>IFERROR(__xludf.DUMMYFUNCTION("""COMPUTED_VALUE"""),"Vanuatu")</f>
        <v>Vanuatu</v>
      </c>
      <c r="R80" s="9">
        <f>IFERROR(__xludf.DUMMYFUNCTION("""COMPUTED_VALUE"""),60.0)</f>
        <v>60</v>
      </c>
      <c r="Y80" s="9" t="s">
        <v>14</v>
      </c>
      <c r="Z80" s="9">
        <f t="array" ref="Z80">SUMIFS(cleaned!D80:D7522, cleaned!B80:B7522, dimension!A80:A161, cleaned!C80:C7522, 1976)</f>
        <v>9700</v>
      </c>
    </row>
    <row r="81">
      <c r="E81" s="6" t="s">
        <v>68</v>
      </c>
      <c r="F81" s="8">
        <v>709152.6799999999</v>
      </c>
      <c r="J81" s="6" t="s">
        <v>39</v>
      </c>
      <c r="K81" s="8">
        <v>280.37999999999994</v>
      </c>
      <c r="L81" s="9"/>
      <c r="M81" s="13"/>
      <c r="Q81" s="9" t="str">
        <f>IFERROR(__xludf.DUMMYFUNCTION("""COMPUTED_VALUE"""),"Sao Tome and Principe")</f>
        <v>Sao Tome and Principe</v>
      </c>
      <c r="R81" s="9">
        <f>IFERROR(__xludf.DUMMYFUNCTION("""COMPUTED_VALUE"""),45.0)</f>
        <v>45</v>
      </c>
      <c r="Y81" s="9" t="s">
        <v>68</v>
      </c>
      <c r="Z81" s="9">
        <f t="array" ref="Z81">SUMIFS(cleaned!D81:D7522, cleaned!B81:B7522, dimension!A81:A162, cleaned!C81:C7522, 1976)</f>
        <v>3810</v>
      </c>
    </row>
    <row r="82">
      <c r="E82" s="6" t="s">
        <v>82</v>
      </c>
      <c r="F82" s="8">
        <v>202188.96</v>
      </c>
      <c r="J82" s="6" t="s">
        <v>92</v>
      </c>
      <c r="K82" s="8">
        <v>207.0</v>
      </c>
      <c r="L82" s="9"/>
      <c r="M82" s="13"/>
      <c r="Q82" s="9" t="str">
        <f>IFERROR(__xludf.DUMMYFUNCTION("""COMPUTED_VALUE"""),"Zambia")</f>
        <v>Zambia</v>
      </c>
      <c r="R82" s="9">
        <f>IFERROR(__xludf.DUMMYFUNCTION("""COMPUTED_VALUE"""),37.0)</f>
        <v>37</v>
      </c>
      <c r="Y82" s="9" t="s">
        <v>82</v>
      </c>
      <c r="Z82" s="9">
        <f t="array" ref="Z82">SUMIFS(cleaned!D82:D7522, cleaned!B82:B7522, dimension!A82:A163, cleaned!C82:C7522, 1976)</f>
        <v>37</v>
      </c>
    </row>
    <row r="83">
      <c r="E83" s="6" t="s">
        <v>77</v>
      </c>
      <c r="F83" s="8">
        <v>282252.76</v>
      </c>
      <c r="J83" s="6" t="s">
        <v>76</v>
      </c>
      <c r="K83" s="8">
        <v>130.0</v>
      </c>
      <c r="L83" s="9"/>
      <c r="M83" s="13"/>
      <c r="Q83" s="9" t="str">
        <f>IFERROR(__xludf.DUMMYFUNCTION("""COMPUTED_VALUE"""),"Saint Lucia")</f>
        <v>Saint Lucia</v>
      </c>
      <c r="R83" s="9">
        <f>IFERROR(__xludf.DUMMYFUNCTION("""COMPUTED_VALUE"""),21.0)</f>
        <v>21</v>
      </c>
      <c r="Y83" s="9" t="s">
        <v>77</v>
      </c>
      <c r="Z83" s="9">
        <f t="array" ref="Z83">SUMIFS(cleaned!D83:D7522, cleaned!B83:B7522, dimension!A83:A164, cleaned!C83:C7522, 1976)</f>
        <v>4639</v>
      </c>
    </row>
    <row r="84">
      <c r="E84" s="6"/>
      <c r="F84" s="8"/>
      <c r="J84" s="6"/>
      <c r="K84" s="8"/>
      <c r="L84" s="9"/>
      <c r="M84" s="13"/>
      <c r="Q84" s="9" t="str">
        <f>IFERROR(__xludf.DUMMYFUNCTION("""COMPUTED_VALUE"""),"Samoa")</f>
        <v>Samoa</v>
      </c>
      <c r="R84" s="9">
        <f>IFERROR(__xludf.DUMMYFUNCTION("""COMPUTED_VALUE"""),20.0)</f>
        <v>20</v>
      </c>
      <c r="Z84" s="9">
        <f>SUM(Z2:Z83)</f>
        <v>3514306</v>
      </c>
    </row>
    <row r="85">
      <c r="E85" s="10"/>
      <c r="F85" s="12"/>
      <c r="J85" s="10"/>
      <c r="K85" s="12"/>
      <c r="L85" s="9"/>
      <c r="M85" s="13"/>
      <c r="Q85" s="9" t="str">
        <f>IFERROR(__xludf.DUMMYFUNCTION("""COMPUTED_VALUE"""),"Fiji")</f>
        <v>Fiji</v>
      </c>
      <c r="R85" s="9">
        <f>IFERROR(__xludf.DUMMYFUNCTION("""COMPUTED_VALUE"""),15.0)</f>
        <v>15</v>
      </c>
      <c r="X85" s="9">
        <f>3522392-Z84</f>
        <v>8086</v>
      </c>
    </row>
    <row r="86">
      <c r="J86" s="9"/>
      <c r="K86" s="9"/>
      <c r="L86" s="9"/>
      <c r="M86" s="9"/>
      <c r="Q86" s="9" t="str">
        <f>IFERROR(__xludf.DUMMYFUNCTION("""COMPUTED_VALUE"""),"Taiwan")</f>
        <v>Taiwan</v>
      </c>
      <c r="R86" s="9">
        <f>IFERROR(__xludf.DUMMYFUNCTION("""COMPUTED_VALUE"""),9.0)</f>
        <v>9</v>
      </c>
    </row>
    <row r="87">
      <c r="J87" s="9"/>
      <c r="K87" s="9"/>
      <c r="L87" s="9"/>
      <c r="M87" s="9"/>
      <c r="Q87" s="9" t="str">
        <f>IFERROR(__xludf.DUMMYFUNCTION("""COMPUTED_VALUE"""),"Europe")</f>
        <v>Europe</v>
      </c>
      <c r="R87" s="9">
        <f>IFERROR(__xludf.DUMMYFUNCTION("""COMPUTED_VALUE"""),8.0)</f>
        <v>8</v>
      </c>
    </row>
    <row r="88">
      <c r="J88" s="9"/>
      <c r="K88" s="9"/>
      <c r="L88" s="9"/>
      <c r="M88" s="9"/>
      <c r="Q88" s="9" t="str">
        <f>IFERROR(__xludf.DUMMYFUNCTION("""COMPUTED_VALUE"""),"Spain")</f>
        <v>Spain</v>
      </c>
      <c r="R88" s="9">
        <f>IFERROR(__xludf.DUMMYFUNCTION("""COMPUTED_VALUE"""),8.0)</f>
        <v>8</v>
      </c>
    </row>
    <row r="89">
      <c r="J89" s="9"/>
      <c r="K89" s="9"/>
      <c r="L89" s="9"/>
      <c r="M89" s="9"/>
      <c r="Q89" s="9" t="str">
        <f>IFERROR(__xludf.DUMMYFUNCTION("""COMPUTED_VALUE"""),"Cook Islands")</f>
        <v>Cook Islands</v>
      </c>
      <c r="R89" s="9">
        <f>IFERROR(__xludf.DUMMYFUNCTION("""COMPUTED_VALUE"""),2.0)</f>
        <v>2</v>
      </c>
    </row>
    <row r="90">
      <c r="J90" s="9"/>
      <c r="K90" s="9"/>
      <c r="L90" s="9"/>
      <c r="M90" s="9"/>
      <c r="Q90" s="9" t="str">
        <f>IFERROR(__xludf.DUMMYFUNCTION("""COMPUTED_VALUE"""),"Dominica")</f>
        <v>Dominica</v>
      </c>
      <c r="R90" s="9">
        <f>IFERROR(__xludf.DUMMYFUNCTION("""COMPUTED_VALUE"""),0.0)</f>
        <v>0</v>
      </c>
    </row>
    <row r="91">
      <c r="J91" s="9"/>
      <c r="K91" s="9"/>
      <c r="L91" s="9"/>
      <c r="M91" s="9"/>
      <c r="Q91" s="9" t="str">
        <f>IFERROR(__xludf.DUMMYFUNCTION("""COMPUTED_VALUE"""),"Martinique")</f>
        <v>Martinique</v>
      </c>
      <c r="R91" s="9">
        <f>IFERROR(__xludf.DUMMYFUNCTION("""COMPUTED_VALUE"""),0.0)</f>
        <v>0</v>
      </c>
    </row>
    <row r="92">
      <c r="J92" s="9"/>
      <c r="K92" s="9"/>
      <c r="L92" s="9"/>
      <c r="M92" s="9"/>
      <c r="Q92" s="9" t="str">
        <f>IFERROR(__xludf.DUMMYFUNCTION("""COMPUTED_VALUE"""),"Mauritius")</f>
        <v>Mauritius</v>
      </c>
      <c r="R92" s="9">
        <f>IFERROR(__xludf.DUMMYFUNCTION("""COMPUTED_VALUE"""),0.0)</f>
        <v>0</v>
      </c>
    </row>
    <row r="93">
      <c r="J93" s="9"/>
      <c r="K93" s="9"/>
      <c r="L93" s="9"/>
      <c r="M93" s="9"/>
      <c r="Q93" s="9" t="str">
        <f>IFERROR(__xludf.DUMMYFUNCTION("""COMPUTED_VALUE"""),"Tonga")</f>
        <v>Tonga</v>
      </c>
      <c r="R93" s="9">
        <f>IFERROR(__xludf.DUMMYFUNCTION("""COMPUTED_VALUE"""),0.0)</f>
        <v>0</v>
      </c>
    </row>
    <row r="94">
      <c r="J94" s="9"/>
      <c r="K94" s="9"/>
      <c r="L94" s="9"/>
      <c r="M94" s="9"/>
    </row>
    <row r="95">
      <c r="J95" s="9"/>
      <c r="K95" s="9"/>
      <c r="L95" s="9"/>
      <c r="M95" s="9"/>
    </row>
    <row r="96">
      <c r="J96" s="9"/>
      <c r="K96" s="9"/>
      <c r="L96" s="9"/>
      <c r="M96" s="9"/>
    </row>
    <row r="97">
      <c r="J97" s="9"/>
      <c r="K97" s="9"/>
      <c r="L97" s="9"/>
      <c r="M97" s="9"/>
    </row>
    <row r="98">
      <c r="J98" s="9"/>
      <c r="K98" s="9"/>
      <c r="L98" s="9"/>
      <c r="M98" s="9"/>
    </row>
    <row r="99">
      <c r="J99" s="9"/>
      <c r="K99" s="9"/>
      <c r="L99" s="9"/>
      <c r="M99" s="9"/>
    </row>
    <row r="100">
      <c r="J100" s="9"/>
      <c r="K100" s="9"/>
      <c r="L100" s="9"/>
      <c r="M100" s="9"/>
    </row>
    <row r="101">
      <c r="J101" s="9"/>
      <c r="K101" s="9"/>
      <c r="L101" s="9"/>
      <c r="M101" s="9"/>
    </row>
    <row r="102">
      <c r="J102" s="9"/>
      <c r="K102" s="9"/>
      <c r="L102" s="9"/>
      <c r="M102" s="9"/>
    </row>
    <row r="103">
      <c r="J103" s="9"/>
      <c r="K103" s="9"/>
      <c r="L103" s="9"/>
      <c r="M103" s="9"/>
    </row>
    <row r="104">
      <c r="J104" s="9"/>
      <c r="K104" s="9"/>
      <c r="L104" s="9"/>
      <c r="M104" s="9"/>
    </row>
    <row r="105">
      <c r="J105" s="9"/>
      <c r="K105" s="9"/>
      <c r="L105" s="9"/>
      <c r="M105" s="9"/>
    </row>
    <row r="106">
      <c r="J106" s="9"/>
      <c r="K106" s="9"/>
      <c r="L106" s="9"/>
      <c r="M106" s="9"/>
    </row>
    <row r="107">
      <c r="J107" s="9"/>
      <c r="K107" s="9"/>
      <c r="L107" s="9"/>
      <c r="M107" s="9"/>
    </row>
    <row r="108">
      <c r="J108" s="9"/>
      <c r="K108" s="9"/>
      <c r="L108" s="9"/>
      <c r="M108" s="9"/>
    </row>
    <row r="109">
      <c r="J109" s="9"/>
      <c r="K109" s="9"/>
      <c r="L109" s="9"/>
      <c r="M109" s="9"/>
    </row>
    <row r="110">
      <c r="J110" s="9"/>
      <c r="K110" s="9"/>
      <c r="L110" s="9"/>
      <c r="M110" s="9"/>
    </row>
    <row r="111">
      <c r="J111" s="9"/>
      <c r="K111" s="9"/>
      <c r="L111" s="9"/>
      <c r="M111" s="9"/>
    </row>
    <row r="112">
      <c r="J112" s="9"/>
      <c r="K112" s="9"/>
      <c r="L112" s="9"/>
      <c r="M112" s="9"/>
    </row>
    <row r="113">
      <c r="J113" s="9"/>
      <c r="K113" s="9"/>
      <c r="L113" s="9"/>
      <c r="M113" s="9"/>
    </row>
    <row r="114">
      <c r="J114" s="9"/>
      <c r="K114" s="9"/>
      <c r="L114" s="9"/>
      <c r="M114" s="9"/>
    </row>
    <row r="115">
      <c r="J115" s="9"/>
      <c r="K115" s="9"/>
      <c r="L115" s="9"/>
      <c r="M115" s="9"/>
    </row>
    <row r="116">
      <c r="J116" s="9"/>
      <c r="K116" s="9"/>
      <c r="L116" s="9"/>
      <c r="M116" s="9"/>
    </row>
    <row r="117">
      <c r="J117" s="9"/>
      <c r="K117" s="9"/>
      <c r="L117" s="9"/>
      <c r="M117" s="9"/>
    </row>
    <row r="118">
      <c r="J118" s="9"/>
      <c r="K118" s="9"/>
      <c r="L118" s="9"/>
      <c r="M118" s="9"/>
    </row>
    <row r="119">
      <c r="J119" s="9"/>
      <c r="K119" s="9"/>
      <c r="L119" s="9"/>
      <c r="M119" s="9"/>
    </row>
    <row r="120">
      <c r="J120" s="9"/>
      <c r="K120" s="9"/>
      <c r="L120" s="9"/>
      <c r="M120" s="9"/>
    </row>
    <row r="121">
      <c r="J121" s="9"/>
      <c r="K121" s="9"/>
      <c r="L121" s="9"/>
      <c r="M121" s="9"/>
    </row>
    <row r="122">
      <c r="J122" s="9"/>
      <c r="K122" s="9"/>
      <c r="L122" s="9"/>
      <c r="M122" s="9"/>
    </row>
    <row r="123">
      <c r="J123" s="9"/>
      <c r="K123" s="9"/>
      <c r="L123" s="9"/>
      <c r="M123" s="9"/>
    </row>
    <row r="124">
      <c r="J124" s="9"/>
      <c r="K124" s="9"/>
      <c r="L124" s="9"/>
      <c r="M124" s="9"/>
    </row>
    <row r="125">
      <c r="J125" s="9"/>
      <c r="K125" s="9"/>
      <c r="L125" s="9"/>
      <c r="M125" s="9"/>
    </row>
    <row r="126">
      <c r="J126" s="9"/>
      <c r="K126" s="9"/>
      <c r="L126" s="9"/>
      <c r="M126" s="9"/>
    </row>
    <row r="127">
      <c r="J127" s="9"/>
      <c r="K127" s="9"/>
      <c r="L127" s="9"/>
      <c r="M127" s="9"/>
    </row>
    <row r="128">
      <c r="J128" s="9"/>
      <c r="K128" s="9"/>
      <c r="L128" s="9"/>
      <c r="M128" s="9"/>
    </row>
    <row r="129">
      <c r="J129" s="9"/>
      <c r="K129" s="9"/>
      <c r="L129" s="9"/>
      <c r="M129" s="9"/>
    </row>
    <row r="130">
      <c r="J130" s="9"/>
      <c r="K130" s="9"/>
      <c r="L130" s="9"/>
      <c r="M130" s="9"/>
    </row>
    <row r="131">
      <c r="J131" s="9"/>
      <c r="K131" s="9"/>
      <c r="L131" s="9"/>
      <c r="M131" s="9"/>
    </row>
    <row r="132">
      <c r="J132" s="9"/>
      <c r="K132" s="9"/>
      <c r="L132" s="9"/>
      <c r="M132" s="9"/>
    </row>
    <row r="133">
      <c r="J133" s="9"/>
      <c r="K133" s="9"/>
      <c r="L133" s="9"/>
      <c r="M133" s="9"/>
    </row>
    <row r="134">
      <c r="J134" s="9"/>
      <c r="K134" s="9"/>
      <c r="L134" s="9"/>
      <c r="M134" s="9"/>
    </row>
    <row r="135">
      <c r="J135" s="9"/>
      <c r="K135" s="9"/>
      <c r="L135" s="9"/>
      <c r="M135" s="9"/>
    </row>
    <row r="136">
      <c r="J136" s="9"/>
      <c r="K136" s="9"/>
      <c r="L136" s="9"/>
      <c r="M136" s="9"/>
    </row>
    <row r="137">
      <c r="J137" s="9"/>
      <c r="K137" s="9"/>
      <c r="L137" s="9"/>
      <c r="M137" s="9"/>
    </row>
    <row r="138">
      <c r="J138" s="9"/>
      <c r="K138" s="9"/>
      <c r="L138" s="9"/>
      <c r="M138" s="9"/>
    </row>
    <row r="139">
      <c r="J139" s="9"/>
      <c r="K139" s="9"/>
      <c r="L139" s="9"/>
      <c r="M139" s="9"/>
    </row>
    <row r="140">
      <c r="J140" s="9"/>
      <c r="K140" s="9"/>
      <c r="L140" s="9"/>
      <c r="M140" s="9"/>
    </row>
    <row r="141">
      <c r="J141" s="9"/>
      <c r="K141" s="9"/>
      <c r="L141" s="9"/>
      <c r="M141" s="9"/>
    </row>
    <row r="142">
      <c r="J142" s="9"/>
      <c r="K142" s="9"/>
      <c r="L142" s="9"/>
      <c r="M142" s="9"/>
    </row>
    <row r="143">
      <c r="J143" s="9"/>
      <c r="K143" s="9"/>
      <c r="L143" s="9"/>
      <c r="M143" s="9"/>
    </row>
    <row r="144">
      <c r="J144" s="9"/>
      <c r="K144" s="9"/>
      <c r="L144" s="9"/>
      <c r="M144" s="9"/>
    </row>
    <row r="145">
      <c r="J145" s="9"/>
      <c r="K145" s="9"/>
      <c r="L145" s="9"/>
      <c r="M145" s="9"/>
    </row>
    <row r="146">
      <c r="J146" s="9"/>
      <c r="K146" s="9"/>
      <c r="L146" s="9"/>
      <c r="M146" s="9"/>
    </row>
    <row r="147">
      <c r="J147" s="9"/>
      <c r="K147" s="9"/>
      <c r="L147" s="9"/>
      <c r="M147" s="9"/>
    </row>
    <row r="148">
      <c r="J148" s="9"/>
      <c r="K148" s="9"/>
      <c r="L148" s="9"/>
      <c r="M148" s="9"/>
    </row>
    <row r="149">
      <c r="J149" s="9"/>
      <c r="K149" s="9"/>
      <c r="L149" s="9"/>
      <c r="M149" s="9"/>
    </row>
    <row r="150">
      <c r="J150" s="9"/>
      <c r="K150" s="9"/>
      <c r="L150" s="9"/>
      <c r="M150" s="9"/>
    </row>
    <row r="151">
      <c r="J151" s="9"/>
      <c r="K151" s="9"/>
      <c r="L151" s="9"/>
      <c r="M151" s="9"/>
    </row>
    <row r="152">
      <c r="J152" s="9"/>
      <c r="K152" s="9"/>
      <c r="L152" s="9"/>
      <c r="M152" s="9"/>
    </row>
    <row r="153">
      <c r="J153" s="9"/>
      <c r="K153" s="9"/>
      <c r="L153" s="9"/>
      <c r="M153" s="9"/>
    </row>
    <row r="154">
      <c r="J154" s="9"/>
      <c r="K154" s="9"/>
      <c r="L154" s="9"/>
      <c r="M154" s="9"/>
    </row>
    <row r="155">
      <c r="J155" s="9"/>
      <c r="K155" s="9"/>
      <c r="L155" s="9"/>
      <c r="M155" s="9"/>
    </row>
    <row r="156">
      <c r="J156" s="9"/>
      <c r="K156" s="9"/>
      <c r="L156" s="9"/>
      <c r="M156" s="9"/>
    </row>
    <row r="157">
      <c r="J157" s="9"/>
      <c r="K157" s="9"/>
      <c r="L157" s="9"/>
      <c r="M157" s="9"/>
    </row>
    <row r="158">
      <c r="J158" s="9"/>
      <c r="K158" s="9"/>
      <c r="L158" s="9"/>
      <c r="M158" s="9"/>
    </row>
    <row r="159">
      <c r="J159" s="9"/>
      <c r="K159" s="9"/>
      <c r="L159" s="9"/>
      <c r="M159" s="9"/>
    </row>
    <row r="160">
      <c r="J160" s="9"/>
      <c r="K160" s="9"/>
      <c r="L160" s="9"/>
      <c r="M160" s="9"/>
    </row>
    <row r="161">
      <c r="J161" s="9"/>
      <c r="K161" s="9"/>
      <c r="L161" s="9"/>
      <c r="M161" s="9"/>
    </row>
    <row r="162">
      <c r="J162" s="9"/>
      <c r="K162" s="9"/>
      <c r="L162" s="9"/>
      <c r="M162" s="9"/>
    </row>
    <row r="163">
      <c r="J163" s="9"/>
      <c r="K163" s="9"/>
      <c r="L163" s="9"/>
      <c r="M163" s="9"/>
    </row>
    <row r="164">
      <c r="J164" s="9"/>
      <c r="K164" s="9"/>
      <c r="L164" s="9"/>
      <c r="M164" s="9"/>
    </row>
    <row r="165">
      <c r="J165" s="9"/>
      <c r="K165" s="9"/>
      <c r="L165" s="9"/>
      <c r="M165" s="9"/>
    </row>
    <row r="166">
      <c r="J166" s="9"/>
      <c r="K166" s="9"/>
      <c r="L166" s="9"/>
      <c r="M166" s="9"/>
    </row>
    <row r="167">
      <c r="J167" s="9"/>
      <c r="K167" s="9"/>
      <c r="L167" s="9"/>
      <c r="M167" s="9"/>
    </row>
    <row r="168">
      <c r="J168" s="9"/>
      <c r="K168" s="9"/>
      <c r="L168" s="9"/>
      <c r="M168" s="9"/>
    </row>
    <row r="169">
      <c r="J169" s="9"/>
      <c r="K169" s="9"/>
      <c r="L169" s="9"/>
      <c r="M169" s="9"/>
    </row>
    <row r="170">
      <c r="J170" s="9"/>
      <c r="K170" s="9"/>
      <c r="L170" s="9"/>
      <c r="M170" s="9"/>
    </row>
    <row r="171">
      <c r="J171" s="9"/>
      <c r="K171" s="9"/>
      <c r="L171" s="9"/>
      <c r="M171" s="9"/>
    </row>
    <row r="172">
      <c r="J172" s="9"/>
      <c r="K172" s="9"/>
      <c r="L172" s="9"/>
      <c r="M172" s="9"/>
    </row>
    <row r="173">
      <c r="J173" s="9"/>
      <c r="K173" s="9"/>
      <c r="L173" s="9"/>
      <c r="M173" s="9"/>
    </row>
    <row r="174">
      <c r="J174" s="9"/>
      <c r="K174" s="9"/>
      <c r="L174" s="9"/>
      <c r="M174" s="9"/>
    </row>
    <row r="175">
      <c r="J175" s="9"/>
      <c r="K175" s="9"/>
      <c r="L175" s="9"/>
      <c r="M175" s="9"/>
    </row>
    <row r="176">
      <c r="J176" s="9"/>
      <c r="K176" s="9"/>
      <c r="L176" s="9"/>
      <c r="M176" s="9"/>
    </row>
    <row r="177">
      <c r="J177" s="9"/>
      <c r="K177" s="9"/>
      <c r="L177" s="9"/>
      <c r="M177" s="9"/>
    </row>
    <row r="178">
      <c r="J178" s="9"/>
      <c r="K178" s="9"/>
      <c r="L178" s="9"/>
      <c r="M178" s="9"/>
    </row>
    <row r="179">
      <c r="J179" s="9"/>
      <c r="K179" s="9"/>
      <c r="L179" s="9"/>
      <c r="M179" s="9"/>
    </row>
    <row r="180">
      <c r="J180" s="9"/>
      <c r="K180" s="9"/>
      <c r="L180" s="9"/>
      <c r="M180" s="9"/>
    </row>
    <row r="181">
      <c r="J181" s="9"/>
      <c r="K181" s="9"/>
      <c r="L181" s="9"/>
      <c r="M181" s="9"/>
    </row>
    <row r="182">
      <c r="J182" s="9"/>
      <c r="K182" s="9"/>
      <c r="L182" s="9"/>
      <c r="M182" s="9"/>
    </row>
    <row r="183">
      <c r="J183" s="9"/>
      <c r="K183" s="9"/>
      <c r="L183" s="9"/>
      <c r="M183" s="9"/>
    </row>
    <row r="184">
      <c r="J184" s="9"/>
      <c r="K184" s="9"/>
      <c r="L184" s="9"/>
      <c r="M184" s="9"/>
    </row>
    <row r="185">
      <c r="J185" s="9"/>
      <c r="K185" s="9"/>
      <c r="L185" s="9"/>
      <c r="M185" s="9"/>
    </row>
    <row r="186">
      <c r="J186" s="9"/>
      <c r="K186" s="9"/>
      <c r="L186" s="9"/>
      <c r="M186" s="9"/>
    </row>
    <row r="187">
      <c r="J187" s="9"/>
      <c r="K187" s="9"/>
      <c r="L187" s="9"/>
      <c r="M187" s="9"/>
    </row>
    <row r="188">
      <c r="J188" s="9"/>
      <c r="K188" s="9"/>
      <c r="L188" s="9"/>
      <c r="M188" s="9"/>
    </row>
    <row r="189">
      <c r="J189" s="9"/>
      <c r="K189" s="9"/>
      <c r="L189" s="9"/>
      <c r="M189" s="9"/>
    </row>
    <row r="190">
      <c r="J190" s="9"/>
      <c r="K190" s="9"/>
      <c r="L190" s="9"/>
      <c r="M190" s="9"/>
    </row>
    <row r="191">
      <c r="J191" s="9"/>
      <c r="K191" s="9"/>
      <c r="L191" s="9"/>
      <c r="M191" s="9"/>
    </row>
    <row r="192">
      <c r="J192" s="9"/>
      <c r="K192" s="9"/>
      <c r="L192" s="9"/>
      <c r="M192" s="9"/>
    </row>
    <row r="193">
      <c r="J193" s="9"/>
      <c r="K193" s="9"/>
      <c r="L193" s="9"/>
      <c r="M193" s="9"/>
    </row>
    <row r="194">
      <c r="J194" s="9"/>
      <c r="K194" s="9"/>
      <c r="L194" s="9"/>
      <c r="M194" s="9"/>
    </row>
    <row r="195">
      <c r="J195" s="9"/>
      <c r="K195" s="9"/>
      <c r="L195" s="9"/>
      <c r="M195" s="9"/>
    </row>
    <row r="196">
      <c r="J196" s="9"/>
      <c r="K196" s="9"/>
      <c r="L196" s="9"/>
      <c r="M196" s="9"/>
    </row>
    <row r="197">
      <c r="J197" s="9"/>
      <c r="K197" s="9"/>
      <c r="L197" s="9"/>
      <c r="M197" s="9"/>
    </row>
    <row r="198">
      <c r="J198" s="9"/>
      <c r="K198" s="9"/>
      <c r="L198" s="9"/>
      <c r="M198" s="9"/>
    </row>
    <row r="199">
      <c r="J199" s="9"/>
      <c r="K199" s="9"/>
      <c r="L199" s="9"/>
      <c r="M199" s="9"/>
    </row>
    <row r="200">
      <c r="J200" s="9"/>
      <c r="K200" s="9"/>
      <c r="L200" s="9"/>
      <c r="M200" s="9"/>
    </row>
    <row r="201">
      <c r="J201" s="9"/>
      <c r="K201" s="9"/>
      <c r="L201" s="9"/>
      <c r="M201" s="9"/>
    </row>
    <row r="202">
      <c r="J202" s="9"/>
      <c r="K202" s="9"/>
      <c r="L202" s="9"/>
      <c r="M202" s="9"/>
    </row>
    <row r="203">
      <c r="J203" s="9"/>
      <c r="K203" s="9"/>
      <c r="L203" s="9"/>
      <c r="M203" s="9"/>
    </row>
    <row r="204">
      <c r="J204" s="9"/>
      <c r="K204" s="9"/>
      <c r="L204" s="9"/>
      <c r="M204" s="9"/>
    </row>
    <row r="205">
      <c r="J205" s="9"/>
      <c r="K205" s="9"/>
      <c r="L205" s="9"/>
      <c r="M205" s="9"/>
    </row>
    <row r="206">
      <c r="J206" s="9"/>
      <c r="K206" s="9"/>
      <c r="L206" s="9"/>
      <c r="M206" s="9"/>
    </row>
    <row r="207">
      <c r="J207" s="9"/>
      <c r="K207" s="9"/>
      <c r="L207" s="9"/>
      <c r="M207" s="9"/>
    </row>
    <row r="208">
      <c r="J208" s="9"/>
      <c r="K208" s="9"/>
      <c r="L208" s="9"/>
      <c r="M208" s="9"/>
    </row>
    <row r="209">
      <c r="J209" s="9"/>
      <c r="K209" s="9"/>
      <c r="L209" s="9"/>
      <c r="M209" s="9"/>
    </row>
    <row r="210">
      <c r="J210" s="9"/>
      <c r="K210" s="9"/>
      <c r="L210" s="9"/>
      <c r="M210" s="9"/>
    </row>
    <row r="211">
      <c r="J211" s="9"/>
      <c r="K211" s="9"/>
      <c r="L211" s="9"/>
      <c r="M211" s="9"/>
    </row>
    <row r="212">
      <c r="J212" s="9"/>
      <c r="K212" s="9"/>
      <c r="L212" s="9"/>
      <c r="M212" s="9"/>
    </row>
    <row r="213">
      <c r="J213" s="9"/>
      <c r="K213" s="9"/>
      <c r="L213" s="9"/>
      <c r="M213" s="9"/>
    </row>
    <row r="214">
      <c r="J214" s="9"/>
      <c r="K214" s="9"/>
      <c r="L214" s="9"/>
      <c r="M214" s="9"/>
    </row>
    <row r="215">
      <c r="J215" s="9"/>
      <c r="K215" s="9"/>
      <c r="L215" s="9"/>
      <c r="M215" s="9"/>
    </row>
    <row r="216">
      <c r="J216" s="9"/>
      <c r="K216" s="9"/>
      <c r="L216" s="9"/>
      <c r="M216" s="9"/>
    </row>
    <row r="217">
      <c r="J217" s="9"/>
      <c r="K217" s="9"/>
      <c r="L217" s="9"/>
      <c r="M217" s="9"/>
    </row>
    <row r="218">
      <c r="J218" s="9"/>
      <c r="K218" s="9"/>
      <c r="L218" s="9"/>
      <c r="M218" s="9"/>
    </row>
    <row r="219">
      <c r="J219" s="9"/>
      <c r="K219" s="9"/>
      <c r="L219" s="9"/>
      <c r="M219" s="9"/>
    </row>
    <row r="220">
      <c r="J220" s="9"/>
      <c r="K220" s="9"/>
      <c r="L220" s="9"/>
      <c r="M220" s="9"/>
    </row>
    <row r="221">
      <c r="J221" s="9"/>
      <c r="K221" s="9"/>
      <c r="L221" s="9"/>
      <c r="M221" s="9"/>
    </row>
    <row r="222">
      <c r="J222" s="9"/>
      <c r="K222" s="9"/>
      <c r="L222" s="9"/>
      <c r="M222" s="9"/>
    </row>
    <row r="223">
      <c r="J223" s="9"/>
      <c r="K223" s="9"/>
      <c r="L223" s="9"/>
      <c r="M223" s="9"/>
    </row>
    <row r="224">
      <c r="J224" s="9"/>
      <c r="K224" s="9"/>
      <c r="L224" s="9"/>
      <c r="M224" s="9"/>
    </row>
    <row r="225">
      <c r="J225" s="9"/>
      <c r="K225" s="9"/>
      <c r="L225" s="9"/>
      <c r="M225" s="9"/>
    </row>
    <row r="226">
      <c r="J226" s="9"/>
      <c r="K226" s="9"/>
      <c r="L226" s="9"/>
      <c r="M226" s="9"/>
    </row>
    <row r="227">
      <c r="J227" s="9"/>
      <c r="K227" s="9"/>
      <c r="L227" s="9"/>
      <c r="M227" s="9"/>
    </row>
    <row r="228">
      <c r="J228" s="9"/>
      <c r="K228" s="9"/>
      <c r="L228" s="9"/>
      <c r="M228" s="9"/>
    </row>
    <row r="229">
      <c r="J229" s="9"/>
      <c r="K229" s="9"/>
      <c r="L229" s="9"/>
      <c r="M229" s="9"/>
    </row>
    <row r="230">
      <c r="J230" s="9"/>
      <c r="K230" s="9"/>
      <c r="L230" s="9"/>
      <c r="M230" s="9"/>
    </row>
    <row r="231">
      <c r="J231" s="9"/>
      <c r="K231" s="9"/>
      <c r="L231" s="9"/>
      <c r="M231" s="9"/>
    </row>
    <row r="232">
      <c r="J232" s="9"/>
      <c r="K232" s="9"/>
      <c r="L232" s="9"/>
      <c r="M232" s="9"/>
    </row>
    <row r="233">
      <c r="J233" s="9"/>
      <c r="K233" s="9"/>
      <c r="L233" s="9"/>
      <c r="M233" s="9"/>
    </row>
    <row r="234">
      <c r="J234" s="9"/>
      <c r="K234" s="9"/>
      <c r="L234" s="9"/>
      <c r="M234" s="9"/>
    </row>
    <row r="235">
      <c r="J235" s="9"/>
      <c r="K235" s="9"/>
      <c r="L235" s="9"/>
      <c r="M235" s="9"/>
    </row>
    <row r="236">
      <c r="J236" s="9"/>
      <c r="K236" s="9"/>
      <c r="L236" s="9"/>
      <c r="M236" s="9"/>
    </row>
    <row r="237">
      <c r="J237" s="9"/>
      <c r="K237" s="9"/>
      <c r="L237" s="9"/>
      <c r="M237" s="9"/>
    </row>
    <row r="238">
      <c r="J238" s="9"/>
      <c r="K238" s="9"/>
      <c r="L238" s="9"/>
      <c r="M238" s="9"/>
    </row>
    <row r="239">
      <c r="J239" s="9"/>
      <c r="K239" s="9"/>
      <c r="L239" s="9"/>
      <c r="M239" s="9"/>
    </row>
    <row r="240">
      <c r="J240" s="9"/>
      <c r="K240" s="9"/>
      <c r="L240" s="9"/>
      <c r="M240" s="9"/>
    </row>
    <row r="241">
      <c r="J241" s="9"/>
      <c r="K241" s="9"/>
      <c r="L241" s="9"/>
      <c r="M241" s="9"/>
    </row>
    <row r="242">
      <c r="J242" s="9"/>
      <c r="K242" s="9"/>
      <c r="L242" s="9"/>
      <c r="M242" s="9"/>
    </row>
    <row r="243">
      <c r="J243" s="9"/>
      <c r="K243" s="9"/>
      <c r="L243" s="9"/>
      <c r="M243" s="9"/>
    </row>
    <row r="244">
      <c r="J244" s="9"/>
      <c r="K244" s="9"/>
      <c r="L244" s="9"/>
      <c r="M244" s="9"/>
    </row>
    <row r="245">
      <c r="J245" s="9"/>
      <c r="K245" s="9"/>
      <c r="L245" s="9"/>
      <c r="M245" s="9"/>
    </row>
    <row r="246">
      <c r="J246" s="9"/>
      <c r="K246" s="9"/>
      <c r="L246" s="9"/>
      <c r="M246" s="9"/>
    </row>
    <row r="247">
      <c r="J247" s="9"/>
      <c r="K247" s="9"/>
      <c r="L247" s="9"/>
      <c r="M247" s="9"/>
    </row>
    <row r="248">
      <c r="J248" s="9"/>
      <c r="K248" s="9"/>
      <c r="L248" s="9"/>
      <c r="M248" s="9"/>
    </row>
    <row r="249">
      <c r="J249" s="9"/>
      <c r="K249" s="9"/>
      <c r="L249" s="9"/>
      <c r="M249" s="9"/>
    </row>
    <row r="250">
      <c r="J250" s="9"/>
      <c r="K250" s="9"/>
      <c r="L250" s="9"/>
      <c r="M250" s="9"/>
    </row>
    <row r="251">
      <c r="J251" s="9"/>
      <c r="K251" s="9"/>
      <c r="L251" s="9"/>
      <c r="M251" s="9"/>
    </row>
    <row r="252">
      <c r="J252" s="9"/>
      <c r="K252" s="9"/>
      <c r="L252" s="9"/>
      <c r="M252" s="9"/>
    </row>
    <row r="253">
      <c r="J253" s="9"/>
      <c r="K253" s="9"/>
      <c r="L253" s="9"/>
      <c r="M253" s="9"/>
    </row>
    <row r="254">
      <c r="J254" s="9"/>
      <c r="K254" s="9"/>
      <c r="L254" s="9"/>
      <c r="M254" s="9"/>
    </row>
    <row r="255">
      <c r="J255" s="9"/>
      <c r="K255" s="9"/>
      <c r="L255" s="9"/>
      <c r="M255" s="9"/>
    </row>
    <row r="256">
      <c r="J256" s="9"/>
      <c r="K256" s="9"/>
      <c r="L256" s="9"/>
      <c r="M256" s="9"/>
    </row>
    <row r="257">
      <c r="J257" s="9"/>
      <c r="K257" s="9"/>
      <c r="L257" s="9"/>
      <c r="M257" s="9"/>
    </row>
    <row r="258">
      <c r="J258" s="9"/>
      <c r="K258" s="9"/>
      <c r="L258" s="9"/>
      <c r="M258" s="9"/>
    </row>
    <row r="259">
      <c r="J259" s="9"/>
      <c r="K259" s="9"/>
      <c r="L259" s="9"/>
      <c r="M259" s="9"/>
    </row>
    <row r="260">
      <c r="J260" s="9"/>
      <c r="K260" s="9"/>
      <c r="L260" s="9"/>
      <c r="M260" s="9"/>
    </row>
    <row r="261">
      <c r="J261" s="9"/>
      <c r="K261" s="9"/>
      <c r="L261" s="9"/>
      <c r="M261" s="9"/>
    </row>
    <row r="262">
      <c r="J262" s="9"/>
      <c r="K262" s="9"/>
      <c r="L262" s="9"/>
      <c r="M262" s="9"/>
    </row>
    <row r="263">
      <c r="J263" s="9"/>
      <c r="K263" s="9"/>
      <c r="L263" s="9"/>
      <c r="M263" s="9"/>
    </row>
    <row r="264">
      <c r="J264" s="9"/>
      <c r="K264" s="9"/>
      <c r="L264" s="9"/>
      <c r="M264" s="9"/>
    </row>
    <row r="265">
      <c r="J265" s="9"/>
      <c r="K265" s="9"/>
      <c r="L265" s="9"/>
      <c r="M265" s="9"/>
    </row>
    <row r="266">
      <c r="J266" s="9"/>
      <c r="K266" s="9"/>
      <c r="L266" s="9"/>
      <c r="M266" s="9"/>
    </row>
    <row r="267">
      <c r="J267" s="9"/>
      <c r="K267" s="9"/>
      <c r="L267" s="9"/>
      <c r="M267" s="9"/>
    </row>
    <row r="268">
      <c r="J268" s="9"/>
      <c r="K268" s="9"/>
      <c r="L268" s="9"/>
      <c r="M268" s="9"/>
    </row>
    <row r="269">
      <c r="J269" s="9"/>
      <c r="K269" s="9"/>
      <c r="L269" s="9"/>
      <c r="M269" s="9"/>
    </row>
    <row r="270">
      <c r="J270" s="9"/>
      <c r="K270" s="9"/>
      <c r="L270" s="9"/>
      <c r="M270" s="9"/>
    </row>
    <row r="271">
      <c r="J271" s="9"/>
      <c r="K271" s="9"/>
      <c r="L271" s="9"/>
      <c r="M271" s="9"/>
    </row>
    <row r="272">
      <c r="J272" s="9"/>
      <c r="K272" s="9"/>
      <c r="L272" s="9"/>
      <c r="M272" s="9"/>
    </row>
    <row r="273">
      <c r="J273" s="9"/>
      <c r="K273" s="9"/>
      <c r="L273" s="9"/>
      <c r="M273" s="9"/>
    </row>
    <row r="274">
      <c r="J274" s="9"/>
      <c r="K274" s="9"/>
      <c r="L274" s="9"/>
      <c r="M274" s="9"/>
    </row>
    <row r="275">
      <c r="J275" s="9"/>
      <c r="K275" s="9"/>
      <c r="L275" s="9"/>
      <c r="M275" s="9"/>
    </row>
    <row r="276">
      <c r="J276" s="9"/>
      <c r="K276" s="9"/>
      <c r="L276" s="9"/>
      <c r="M276" s="9"/>
    </row>
    <row r="277">
      <c r="J277" s="9"/>
      <c r="K277" s="9"/>
      <c r="L277" s="9"/>
      <c r="M277" s="9"/>
    </row>
    <row r="278">
      <c r="J278" s="9"/>
      <c r="K278" s="9"/>
      <c r="L278" s="9"/>
      <c r="M278" s="9"/>
    </row>
    <row r="279">
      <c r="J279" s="9"/>
      <c r="K279" s="9"/>
      <c r="L279" s="9"/>
      <c r="M279" s="9"/>
    </row>
    <row r="280">
      <c r="J280" s="9"/>
      <c r="K280" s="9"/>
      <c r="L280" s="9"/>
      <c r="M280" s="9"/>
    </row>
    <row r="281">
      <c r="J281" s="9"/>
      <c r="K281" s="9"/>
      <c r="L281" s="9"/>
      <c r="M281" s="9"/>
    </row>
    <row r="282">
      <c r="J282" s="9"/>
      <c r="K282" s="9"/>
      <c r="L282" s="9"/>
      <c r="M282" s="9"/>
    </row>
    <row r="283">
      <c r="J283" s="9"/>
      <c r="K283" s="9"/>
      <c r="L283" s="9"/>
      <c r="M283" s="9"/>
    </row>
    <row r="284">
      <c r="J284" s="9"/>
      <c r="K284" s="9"/>
      <c r="L284" s="9"/>
      <c r="M284" s="9"/>
    </row>
    <row r="285">
      <c r="J285" s="9"/>
      <c r="K285" s="9"/>
      <c r="L285" s="9"/>
      <c r="M285" s="9"/>
    </row>
    <row r="286">
      <c r="J286" s="9"/>
      <c r="K286" s="9"/>
      <c r="L286" s="9"/>
      <c r="M286" s="9"/>
    </row>
    <row r="287">
      <c r="J287" s="9"/>
      <c r="K287" s="9"/>
      <c r="L287" s="9"/>
      <c r="M287" s="9"/>
    </row>
    <row r="288">
      <c r="J288" s="9"/>
      <c r="K288" s="9"/>
      <c r="L288" s="9"/>
      <c r="M288" s="9"/>
    </row>
    <row r="289">
      <c r="J289" s="9"/>
      <c r="K289" s="9"/>
      <c r="L289" s="9"/>
      <c r="M289" s="9"/>
    </row>
    <row r="290">
      <c r="J290" s="9"/>
      <c r="K290" s="9"/>
      <c r="L290" s="9"/>
      <c r="M290" s="9"/>
    </row>
    <row r="291">
      <c r="J291" s="9"/>
      <c r="K291" s="9"/>
      <c r="L291" s="9"/>
      <c r="M291" s="9"/>
    </row>
    <row r="292">
      <c r="J292" s="9"/>
      <c r="K292" s="9"/>
      <c r="L292" s="9"/>
      <c r="M292" s="9"/>
    </row>
    <row r="293">
      <c r="J293" s="9"/>
      <c r="K293" s="9"/>
      <c r="L293" s="9"/>
      <c r="M293" s="9"/>
    </row>
    <row r="294">
      <c r="J294" s="9"/>
      <c r="K294" s="9"/>
      <c r="L294" s="9"/>
      <c r="M294" s="9"/>
    </row>
    <row r="295">
      <c r="J295" s="9"/>
      <c r="K295" s="9"/>
      <c r="L295" s="9"/>
      <c r="M295" s="9"/>
    </row>
    <row r="296">
      <c r="J296" s="9"/>
      <c r="K296" s="9"/>
      <c r="L296" s="9"/>
      <c r="M296" s="9"/>
    </row>
    <row r="297">
      <c r="J297" s="9"/>
      <c r="K297" s="9"/>
      <c r="L297" s="9"/>
      <c r="M297" s="9"/>
    </row>
    <row r="298">
      <c r="J298" s="9"/>
      <c r="K298" s="9"/>
      <c r="L298" s="9"/>
      <c r="M298" s="9"/>
    </row>
    <row r="299">
      <c r="J299" s="9"/>
      <c r="K299" s="9"/>
      <c r="L299" s="9"/>
      <c r="M299" s="9"/>
    </row>
    <row r="300">
      <c r="J300" s="9"/>
      <c r="K300" s="9"/>
      <c r="L300" s="9"/>
      <c r="M300" s="9"/>
    </row>
    <row r="301">
      <c r="J301" s="9"/>
      <c r="K301" s="9"/>
      <c r="L301" s="9"/>
      <c r="M301" s="9"/>
    </row>
    <row r="302">
      <c r="J302" s="9"/>
      <c r="K302" s="9"/>
      <c r="L302" s="9"/>
      <c r="M302" s="9"/>
    </row>
    <row r="303">
      <c r="J303" s="9"/>
      <c r="K303" s="9"/>
      <c r="L303" s="9"/>
      <c r="M303" s="9"/>
    </row>
    <row r="304">
      <c r="J304" s="9"/>
      <c r="K304" s="9"/>
      <c r="L304" s="9"/>
      <c r="M304" s="9"/>
    </row>
    <row r="305">
      <c r="J305" s="9"/>
      <c r="K305" s="9"/>
      <c r="L305" s="9"/>
      <c r="M305" s="9"/>
    </row>
    <row r="306">
      <c r="J306" s="9"/>
      <c r="K306" s="9"/>
      <c r="L306" s="9"/>
      <c r="M306" s="9"/>
    </row>
    <row r="307">
      <c r="J307" s="9"/>
      <c r="K307" s="9"/>
      <c r="L307" s="9"/>
      <c r="M307" s="9"/>
    </row>
    <row r="308">
      <c r="J308" s="9"/>
      <c r="K308" s="9"/>
      <c r="L308" s="9"/>
      <c r="M308" s="9"/>
    </row>
    <row r="309">
      <c r="J309" s="9"/>
      <c r="K309" s="9"/>
      <c r="L309" s="9"/>
      <c r="M309" s="9"/>
    </row>
    <row r="310">
      <c r="J310" s="9"/>
      <c r="K310" s="9"/>
      <c r="L310" s="9"/>
      <c r="M310" s="9"/>
    </row>
    <row r="311">
      <c r="J311" s="9"/>
      <c r="K311" s="9"/>
      <c r="L311" s="9"/>
      <c r="M311" s="9"/>
    </row>
    <row r="312">
      <c r="J312" s="9"/>
      <c r="K312" s="9"/>
      <c r="L312" s="9"/>
      <c r="M312" s="9"/>
    </row>
    <row r="313">
      <c r="J313" s="9"/>
      <c r="K313" s="9"/>
      <c r="L313" s="9"/>
      <c r="M313" s="9"/>
    </row>
    <row r="314">
      <c r="J314" s="9"/>
      <c r="K314" s="9"/>
      <c r="L314" s="9"/>
      <c r="M314" s="9"/>
    </row>
    <row r="315">
      <c r="J315" s="9"/>
      <c r="K315" s="9"/>
      <c r="L315" s="9"/>
      <c r="M315" s="9"/>
    </row>
    <row r="316">
      <c r="J316" s="9"/>
      <c r="K316" s="9"/>
      <c r="L316" s="9"/>
      <c r="M316" s="9"/>
    </row>
    <row r="317">
      <c r="J317" s="9"/>
      <c r="K317" s="9"/>
      <c r="L317" s="9"/>
      <c r="M317" s="9"/>
    </row>
    <row r="318">
      <c r="J318" s="9"/>
      <c r="K318" s="9"/>
      <c r="L318" s="9"/>
      <c r="M318" s="9"/>
    </row>
    <row r="319">
      <c r="J319" s="9"/>
      <c r="K319" s="9"/>
      <c r="L319" s="9"/>
      <c r="M319" s="9"/>
    </row>
    <row r="320">
      <c r="J320" s="9"/>
      <c r="K320" s="9"/>
      <c r="L320" s="9"/>
      <c r="M320" s="9"/>
    </row>
    <row r="321">
      <c r="J321" s="9"/>
      <c r="K321" s="9"/>
      <c r="L321" s="9"/>
      <c r="M321" s="9"/>
    </row>
    <row r="322">
      <c r="J322" s="9"/>
      <c r="K322" s="9"/>
      <c r="L322" s="9"/>
      <c r="M322" s="9"/>
    </row>
    <row r="323">
      <c r="J323" s="9"/>
      <c r="K323" s="9"/>
      <c r="L323" s="9"/>
      <c r="M323" s="9"/>
    </row>
    <row r="324">
      <c r="J324" s="9"/>
      <c r="K324" s="9"/>
      <c r="L324" s="9"/>
      <c r="M324" s="9"/>
    </row>
    <row r="325">
      <c r="J325" s="9"/>
      <c r="K325" s="9"/>
      <c r="L325" s="9"/>
      <c r="M325" s="9"/>
    </row>
    <row r="326">
      <c r="J326" s="9"/>
      <c r="K326" s="9"/>
      <c r="L326" s="9"/>
      <c r="M326" s="9"/>
    </row>
    <row r="327">
      <c r="J327" s="9"/>
      <c r="K327" s="9"/>
      <c r="L327" s="9"/>
      <c r="M327" s="9"/>
    </row>
    <row r="328">
      <c r="J328" s="9"/>
      <c r="K328" s="9"/>
      <c r="L328" s="9"/>
      <c r="M328" s="9"/>
    </row>
    <row r="329">
      <c r="J329" s="9"/>
      <c r="K329" s="9"/>
      <c r="L329" s="9"/>
      <c r="M329" s="9"/>
    </row>
    <row r="330">
      <c r="J330" s="9"/>
      <c r="K330" s="9"/>
      <c r="L330" s="9"/>
      <c r="M330" s="9"/>
    </row>
    <row r="331">
      <c r="J331" s="9"/>
      <c r="K331" s="9"/>
      <c r="L331" s="9"/>
      <c r="M331" s="9"/>
    </row>
    <row r="332">
      <c r="J332" s="9"/>
      <c r="K332" s="9"/>
      <c r="L332" s="9"/>
      <c r="M332" s="9"/>
    </row>
    <row r="333">
      <c r="J333" s="9"/>
      <c r="K333" s="9"/>
      <c r="L333" s="9"/>
      <c r="M333" s="9"/>
    </row>
    <row r="334">
      <c r="J334" s="9"/>
      <c r="K334" s="9"/>
      <c r="L334" s="9"/>
      <c r="M334" s="9"/>
    </row>
    <row r="335">
      <c r="J335" s="9"/>
      <c r="K335" s="9"/>
      <c r="L335" s="9"/>
      <c r="M335" s="9"/>
    </row>
    <row r="336">
      <c r="J336" s="9"/>
      <c r="K336" s="9"/>
      <c r="L336" s="9"/>
      <c r="M336" s="9"/>
    </row>
    <row r="337">
      <c r="J337" s="9"/>
      <c r="K337" s="9"/>
      <c r="L337" s="9"/>
      <c r="M337" s="9"/>
    </row>
    <row r="338">
      <c r="J338" s="9"/>
      <c r="K338" s="9"/>
      <c r="L338" s="9"/>
      <c r="M338" s="9"/>
    </row>
    <row r="339">
      <c r="J339" s="9"/>
      <c r="K339" s="9"/>
      <c r="L339" s="9"/>
      <c r="M339" s="9"/>
    </row>
    <row r="340">
      <c r="J340" s="9"/>
      <c r="K340" s="9"/>
      <c r="L340" s="9"/>
      <c r="M340" s="9"/>
    </row>
    <row r="341">
      <c r="J341" s="9"/>
      <c r="K341" s="9"/>
      <c r="L341" s="9"/>
      <c r="M341" s="9"/>
    </row>
    <row r="342">
      <c r="J342" s="9"/>
      <c r="K342" s="9"/>
      <c r="L342" s="9"/>
      <c r="M342" s="9"/>
    </row>
    <row r="343">
      <c r="J343" s="9"/>
      <c r="K343" s="9"/>
      <c r="L343" s="9"/>
      <c r="M343" s="9"/>
    </row>
    <row r="344">
      <c r="J344" s="9"/>
      <c r="K344" s="9"/>
      <c r="L344" s="9"/>
      <c r="M344" s="9"/>
    </row>
    <row r="345">
      <c r="J345" s="9"/>
      <c r="K345" s="9"/>
      <c r="L345" s="9"/>
      <c r="M345" s="9"/>
    </row>
    <row r="346">
      <c r="J346" s="9"/>
      <c r="K346" s="9"/>
      <c r="L346" s="9"/>
      <c r="M346" s="9"/>
    </row>
    <row r="347">
      <c r="J347" s="9"/>
      <c r="K347" s="9"/>
      <c r="L347" s="9"/>
      <c r="M347" s="9"/>
    </row>
    <row r="348">
      <c r="J348" s="9"/>
      <c r="K348" s="9"/>
      <c r="L348" s="9"/>
      <c r="M348" s="9"/>
    </row>
    <row r="349">
      <c r="J349" s="9"/>
      <c r="K349" s="9"/>
      <c r="L349" s="9"/>
      <c r="M349" s="9"/>
    </row>
    <row r="350">
      <c r="J350" s="9"/>
      <c r="K350" s="9"/>
      <c r="L350" s="9"/>
      <c r="M350" s="9"/>
    </row>
    <row r="351">
      <c r="J351" s="9"/>
      <c r="K351" s="9"/>
      <c r="L351" s="9"/>
      <c r="M351" s="9"/>
    </row>
    <row r="352">
      <c r="J352" s="9"/>
      <c r="K352" s="9"/>
      <c r="L352" s="9"/>
      <c r="M352" s="9"/>
    </row>
    <row r="353">
      <c r="J353" s="9"/>
      <c r="K353" s="9"/>
      <c r="L353" s="9"/>
      <c r="M353" s="9"/>
    </row>
    <row r="354">
      <c r="J354" s="9"/>
      <c r="K354" s="9"/>
      <c r="L354" s="9"/>
      <c r="M354" s="9"/>
    </row>
    <row r="355">
      <c r="J355" s="9"/>
      <c r="K355" s="9"/>
      <c r="L355" s="9"/>
      <c r="M355" s="9"/>
    </row>
    <row r="356">
      <c r="J356" s="9"/>
      <c r="K356" s="9"/>
      <c r="L356" s="9"/>
      <c r="M356" s="9"/>
    </row>
    <row r="357">
      <c r="J357" s="9"/>
      <c r="K357" s="9"/>
      <c r="L357" s="9"/>
      <c r="M357" s="9"/>
    </row>
    <row r="358">
      <c r="J358" s="9"/>
      <c r="K358" s="9"/>
      <c r="L358" s="9"/>
      <c r="M358" s="9"/>
    </row>
    <row r="359">
      <c r="J359" s="9"/>
      <c r="K359" s="9"/>
      <c r="L359" s="9"/>
      <c r="M359" s="9"/>
    </row>
    <row r="360">
      <c r="J360" s="9"/>
      <c r="K360" s="9"/>
      <c r="L360" s="9"/>
      <c r="M360" s="9"/>
    </row>
    <row r="361">
      <c r="J361" s="9"/>
      <c r="K361" s="9"/>
      <c r="L361" s="9"/>
      <c r="M361" s="9"/>
    </row>
    <row r="362">
      <c r="J362" s="9"/>
      <c r="K362" s="9"/>
      <c r="L362" s="9"/>
      <c r="M362" s="9"/>
    </row>
    <row r="363">
      <c r="J363" s="9"/>
      <c r="K363" s="9"/>
      <c r="L363" s="9"/>
      <c r="M363" s="9"/>
    </row>
    <row r="364">
      <c r="J364" s="9"/>
      <c r="K364" s="9"/>
      <c r="L364" s="9"/>
      <c r="M364" s="9"/>
    </row>
    <row r="365">
      <c r="J365" s="9"/>
      <c r="K365" s="9"/>
      <c r="L365" s="9"/>
      <c r="M365" s="9"/>
    </row>
    <row r="366">
      <c r="J366" s="9"/>
      <c r="K366" s="9"/>
      <c r="L366" s="9"/>
      <c r="M366" s="9"/>
    </row>
    <row r="367">
      <c r="J367" s="9"/>
      <c r="K367" s="9"/>
      <c r="L367" s="9"/>
      <c r="M367" s="9"/>
    </row>
    <row r="368">
      <c r="J368" s="9"/>
      <c r="K368" s="9"/>
      <c r="L368" s="9"/>
      <c r="M368" s="9"/>
    </row>
    <row r="369">
      <c r="J369" s="9"/>
      <c r="K369" s="9"/>
      <c r="L369" s="9"/>
      <c r="M369" s="9"/>
    </row>
    <row r="370">
      <c r="J370" s="9"/>
      <c r="K370" s="9"/>
      <c r="L370" s="9"/>
      <c r="M370" s="9"/>
    </row>
    <row r="371">
      <c r="J371" s="9"/>
      <c r="K371" s="9"/>
      <c r="L371" s="9"/>
      <c r="M371" s="9"/>
    </row>
    <row r="372">
      <c r="J372" s="9"/>
      <c r="K372" s="9"/>
      <c r="L372" s="9"/>
      <c r="M372" s="9"/>
    </row>
    <row r="373">
      <c r="J373" s="9"/>
      <c r="K373" s="9"/>
      <c r="L373" s="9"/>
      <c r="M373" s="9"/>
    </row>
    <row r="374">
      <c r="J374" s="9"/>
      <c r="K374" s="9"/>
      <c r="L374" s="9"/>
      <c r="M374" s="9"/>
    </row>
    <row r="375">
      <c r="J375" s="9"/>
      <c r="K375" s="9"/>
      <c r="L375" s="9"/>
      <c r="M375" s="9"/>
    </row>
    <row r="376">
      <c r="J376" s="9"/>
      <c r="K376" s="9"/>
      <c r="L376" s="9"/>
      <c r="M376" s="9"/>
    </row>
    <row r="377">
      <c r="J377" s="9"/>
      <c r="K377" s="9"/>
      <c r="L377" s="9"/>
      <c r="M377" s="9"/>
    </row>
    <row r="378">
      <c r="J378" s="9"/>
      <c r="K378" s="9"/>
      <c r="L378" s="9"/>
      <c r="M378" s="9"/>
    </row>
    <row r="379">
      <c r="J379" s="9"/>
      <c r="K379" s="9"/>
      <c r="L379" s="9"/>
      <c r="M379" s="9"/>
    </row>
    <row r="380">
      <c r="J380" s="9"/>
      <c r="K380" s="9"/>
      <c r="L380" s="9"/>
      <c r="M380" s="9"/>
    </row>
    <row r="381">
      <c r="J381" s="9"/>
      <c r="K381" s="9"/>
      <c r="L381" s="9"/>
      <c r="M381" s="9"/>
    </row>
    <row r="382">
      <c r="J382" s="9"/>
      <c r="K382" s="9"/>
      <c r="L382" s="9"/>
      <c r="M382" s="9"/>
    </row>
    <row r="383">
      <c r="J383" s="9"/>
      <c r="K383" s="9"/>
      <c r="L383" s="9"/>
      <c r="M383" s="9"/>
    </row>
    <row r="384">
      <c r="J384" s="9"/>
      <c r="K384" s="9"/>
      <c r="L384" s="9"/>
      <c r="M384" s="9"/>
    </row>
    <row r="385">
      <c r="J385" s="9"/>
      <c r="K385" s="9"/>
      <c r="L385" s="9"/>
      <c r="M385" s="9"/>
    </row>
    <row r="386">
      <c r="J386" s="9"/>
      <c r="K386" s="9"/>
      <c r="L386" s="9"/>
      <c r="M386" s="9"/>
    </row>
    <row r="387">
      <c r="J387" s="9"/>
      <c r="K387" s="9"/>
      <c r="L387" s="9"/>
      <c r="M387" s="9"/>
    </row>
    <row r="388">
      <c r="J388" s="9"/>
      <c r="K388" s="9"/>
      <c r="L388" s="9"/>
      <c r="M388" s="9"/>
    </row>
    <row r="389">
      <c r="J389" s="9"/>
      <c r="K389" s="9"/>
      <c r="L389" s="9"/>
      <c r="M389" s="9"/>
    </row>
    <row r="390">
      <c r="J390" s="9"/>
      <c r="K390" s="9"/>
      <c r="L390" s="9"/>
      <c r="M390" s="9"/>
    </row>
    <row r="391">
      <c r="J391" s="9"/>
      <c r="K391" s="9"/>
      <c r="L391" s="9"/>
      <c r="M391" s="9"/>
    </row>
    <row r="392">
      <c r="J392" s="9"/>
      <c r="K392" s="9"/>
      <c r="L392" s="9"/>
      <c r="M392" s="9"/>
    </row>
    <row r="393">
      <c r="J393" s="9"/>
      <c r="K393" s="9"/>
      <c r="L393" s="9"/>
      <c r="M393" s="9"/>
    </row>
    <row r="394">
      <c r="J394" s="9"/>
      <c r="K394" s="9"/>
      <c r="L394" s="9"/>
      <c r="M394" s="9"/>
    </row>
    <row r="395">
      <c r="J395" s="9"/>
      <c r="K395" s="9"/>
      <c r="L395" s="9"/>
      <c r="M395" s="9"/>
    </row>
    <row r="396">
      <c r="J396" s="9"/>
      <c r="K396" s="9"/>
      <c r="L396" s="9"/>
      <c r="M396" s="9"/>
    </row>
    <row r="397">
      <c r="J397" s="9"/>
      <c r="K397" s="9"/>
      <c r="L397" s="9"/>
      <c r="M397" s="9"/>
    </row>
    <row r="398">
      <c r="J398" s="9"/>
      <c r="K398" s="9"/>
      <c r="L398" s="9"/>
      <c r="M398" s="9"/>
    </row>
    <row r="399">
      <c r="J399" s="9"/>
      <c r="K399" s="9"/>
      <c r="L399" s="9"/>
      <c r="M399" s="9"/>
    </row>
    <row r="400">
      <c r="J400" s="9"/>
      <c r="K400" s="9"/>
      <c r="L400" s="9"/>
      <c r="M400" s="9"/>
    </row>
    <row r="401">
      <c r="J401" s="9"/>
      <c r="K401" s="9"/>
      <c r="L401" s="9"/>
      <c r="M401" s="9"/>
    </row>
    <row r="402">
      <c r="J402" s="9"/>
      <c r="K402" s="9"/>
      <c r="L402" s="9"/>
      <c r="M402" s="9"/>
    </row>
    <row r="403">
      <c r="J403" s="9"/>
      <c r="K403" s="9"/>
      <c r="L403" s="9"/>
      <c r="M403" s="9"/>
    </row>
    <row r="404">
      <c r="J404" s="9"/>
      <c r="K404" s="9"/>
      <c r="L404" s="9"/>
      <c r="M404" s="9"/>
    </row>
    <row r="405">
      <c r="J405" s="9"/>
      <c r="K405" s="9"/>
      <c r="L405" s="9"/>
      <c r="M405" s="9"/>
    </row>
    <row r="406">
      <c r="J406" s="9"/>
      <c r="K406" s="9"/>
      <c r="L406" s="9"/>
      <c r="M406" s="9"/>
    </row>
    <row r="407">
      <c r="J407" s="9"/>
      <c r="K407" s="9"/>
      <c r="L407" s="9"/>
      <c r="M407" s="9"/>
    </row>
    <row r="408">
      <c r="J408" s="9"/>
      <c r="K408" s="9"/>
      <c r="L408" s="9"/>
      <c r="M408" s="9"/>
    </row>
    <row r="409">
      <c r="J409" s="9"/>
      <c r="K409" s="9"/>
      <c r="L409" s="9"/>
      <c r="M409" s="9"/>
    </row>
    <row r="410">
      <c r="J410" s="9"/>
      <c r="K410" s="9"/>
      <c r="L410" s="9"/>
      <c r="M410" s="9"/>
    </row>
    <row r="411">
      <c r="J411" s="9"/>
      <c r="K411" s="9"/>
      <c r="L411" s="9"/>
      <c r="M411" s="9"/>
    </row>
    <row r="412">
      <c r="J412" s="9"/>
      <c r="K412" s="9"/>
      <c r="L412" s="9"/>
      <c r="M412" s="9"/>
    </row>
    <row r="413">
      <c r="J413" s="9"/>
      <c r="K413" s="9"/>
      <c r="L413" s="9"/>
      <c r="M413" s="9"/>
    </row>
    <row r="414">
      <c r="J414" s="9"/>
      <c r="K414" s="9"/>
      <c r="L414" s="9"/>
      <c r="M414" s="9"/>
    </row>
    <row r="415">
      <c r="J415" s="9"/>
      <c r="K415" s="9"/>
      <c r="L415" s="9"/>
      <c r="M415" s="9"/>
    </row>
    <row r="416">
      <c r="J416" s="9"/>
      <c r="K416" s="9"/>
      <c r="L416" s="9"/>
      <c r="M416" s="9"/>
    </row>
    <row r="417">
      <c r="J417" s="9"/>
      <c r="K417" s="9"/>
      <c r="L417" s="9"/>
      <c r="M417" s="9"/>
    </row>
    <row r="418">
      <c r="J418" s="9"/>
      <c r="K418" s="9"/>
      <c r="L418" s="9"/>
      <c r="M418" s="9"/>
    </row>
    <row r="419">
      <c r="J419" s="9"/>
      <c r="K419" s="9"/>
      <c r="L419" s="9"/>
      <c r="M419" s="9"/>
    </row>
    <row r="420">
      <c r="J420" s="9"/>
      <c r="K420" s="9"/>
      <c r="L420" s="9"/>
      <c r="M420" s="9"/>
    </row>
    <row r="421">
      <c r="J421" s="9"/>
      <c r="K421" s="9"/>
      <c r="L421" s="9"/>
      <c r="M421" s="9"/>
    </row>
    <row r="422">
      <c r="J422" s="9"/>
      <c r="K422" s="9"/>
      <c r="L422" s="9"/>
      <c r="M422" s="9"/>
    </row>
    <row r="423">
      <c r="J423" s="9"/>
      <c r="K423" s="9"/>
      <c r="L423" s="9"/>
      <c r="M423" s="9"/>
    </row>
    <row r="424">
      <c r="J424" s="9"/>
      <c r="K424" s="9"/>
      <c r="L424" s="9"/>
      <c r="M424" s="9"/>
    </row>
    <row r="425">
      <c r="J425" s="9"/>
      <c r="K425" s="9"/>
      <c r="L425" s="9"/>
      <c r="M425" s="9"/>
    </row>
    <row r="426">
      <c r="J426" s="9"/>
      <c r="K426" s="9"/>
      <c r="L426" s="9"/>
      <c r="M426" s="9"/>
    </row>
    <row r="427">
      <c r="J427" s="9"/>
      <c r="K427" s="9"/>
      <c r="L427" s="9"/>
      <c r="M427" s="9"/>
    </row>
    <row r="428">
      <c r="J428" s="9"/>
      <c r="K428" s="9"/>
      <c r="L428" s="9"/>
      <c r="M428" s="9"/>
    </row>
    <row r="429">
      <c r="J429" s="9"/>
      <c r="K429" s="9"/>
      <c r="L429" s="9"/>
      <c r="M429" s="9"/>
    </row>
    <row r="430">
      <c r="J430" s="9"/>
      <c r="K430" s="9"/>
      <c r="L430" s="9"/>
      <c r="M430" s="9"/>
    </row>
    <row r="431">
      <c r="J431" s="9"/>
      <c r="K431" s="9"/>
      <c r="L431" s="9"/>
      <c r="M431" s="9"/>
    </row>
    <row r="432">
      <c r="J432" s="9"/>
      <c r="K432" s="9"/>
      <c r="L432" s="9"/>
      <c r="M432" s="9"/>
    </row>
    <row r="433">
      <c r="J433" s="9"/>
      <c r="K433" s="9"/>
      <c r="L433" s="9"/>
      <c r="M433" s="9"/>
    </row>
    <row r="434">
      <c r="J434" s="9"/>
      <c r="K434" s="9"/>
      <c r="L434" s="9"/>
      <c r="M434" s="9"/>
    </row>
    <row r="435">
      <c r="J435" s="9"/>
      <c r="K435" s="9"/>
      <c r="L435" s="9"/>
      <c r="M435" s="9"/>
    </row>
    <row r="436">
      <c r="J436" s="9"/>
      <c r="K436" s="9"/>
      <c r="L436" s="9"/>
      <c r="M436" s="9"/>
    </row>
    <row r="437">
      <c r="J437" s="9"/>
      <c r="K437" s="9"/>
      <c r="L437" s="9"/>
      <c r="M437" s="9"/>
    </row>
    <row r="438">
      <c r="J438" s="9"/>
      <c r="K438" s="9"/>
      <c r="L438" s="9"/>
      <c r="M438" s="9"/>
    </row>
    <row r="439">
      <c r="J439" s="9"/>
      <c r="K439" s="9"/>
      <c r="L439" s="9"/>
      <c r="M439" s="9"/>
    </row>
    <row r="440">
      <c r="J440" s="9"/>
      <c r="K440" s="9"/>
      <c r="L440" s="9"/>
      <c r="M440" s="9"/>
    </row>
    <row r="441">
      <c r="J441" s="9"/>
      <c r="K441" s="9"/>
      <c r="L441" s="9"/>
      <c r="M441" s="9"/>
    </row>
    <row r="442">
      <c r="J442" s="9"/>
      <c r="K442" s="9"/>
      <c r="L442" s="9"/>
      <c r="M442" s="9"/>
    </row>
    <row r="443">
      <c r="J443" s="9"/>
      <c r="K443" s="9"/>
      <c r="L443" s="9"/>
      <c r="M443" s="9"/>
    </row>
    <row r="444">
      <c r="J444" s="9"/>
      <c r="K444" s="9"/>
      <c r="L444" s="9"/>
      <c r="M444" s="9"/>
    </row>
    <row r="445">
      <c r="J445" s="9"/>
      <c r="K445" s="9"/>
      <c r="L445" s="9"/>
      <c r="M445" s="9"/>
    </row>
    <row r="446">
      <c r="J446" s="9"/>
      <c r="K446" s="9"/>
      <c r="L446" s="9"/>
      <c r="M446" s="9"/>
    </row>
    <row r="447">
      <c r="J447" s="9"/>
      <c r="K447" s="9"/>
      <c r="L447" s="9"/>
      <c r="M447" s="9"/>
    </row>
    <row r="448">
      <c r="J448" s="9"/>
      <c r="K448" s="9"/>
      <c r="L448" s="9"/>
      <c r="M448" s="9"/>
    </row>
    <row r="449">
      <c r="J449" s="9"/>
      <c r="K449" s="9"/>
      <c r="L449" s="9"/>
      <c r="M449" s="9"/>
    </row>
    <row r="450">
      <c r="J450" s="9"/>
      <c r="K450" s="9"/>
      <c r="L450" s="9"/>
      <c r="M450" s="9"/>
    </row>
    <row r="451">
      <c r="J451" s="9"/>
      <c r="K451" s="9"/>
      <c r="L451" s="9"/>
      <c r="M451" s="9"/>
    </row>
    <row r="452">
      <c r="J452" s="9"/>
      <c r="K452" s="9"/>
      <c r="L452" s="9"/>
      <c r="M452" s="9"/>
    </row>
    <row r="453">
      <c r="J453" s="9"/>
      <c r="K453" s="9"/>
      <c r="L453" s="9"/>
      <c r="M453" s="9"/>
    </row>
    <row r="454">
      <c r="J454" s="9"/>
      <c r="K454" s="9"/>
      <c r="L454" s="9"/>
      <c r="M454" s="9"/>
    </row>
    <row r="455">
      <c r="J455" s="9"/>
      <c r="K455" s="9"/>
      <c r="L455" s="9"/>
      <c r="M455" s="9"/>
    </row>
    <row r="456">
      <c r="J456" s="9"/>
      <c r="K456" s="9"/>
      <c r="L456" s="9"/>
      <c r="M456" s="9"/>
    </row>
    <row r="457">
      <c r="J457" s="9"/>
      <c r="K457" s="9"/>
      <c r="L457" s="9"/>
      <c r="M457" s="9"/>
    </row>
    <row r="458">
      <c r="J458" s="9"/>
      <c r="K458" s="9"/>
      <c r="L458" s="9"/>
      <c r="M458" s="9"/>
    </row>
    <row r="459">
      <c r="J459" s="9"/>
      <c r="K459" s="9"/>
      <c r="L459" s="9"/>
      <c r="M459" s="9"/>
    </row>
    <row r="460">
      <c r="J460" s="9"/>
      <c r="K460" s="9"/>
      <c r="L460" s="9"/>
      <c r="M460" s="9"/>
    </row>
    <row r="461">
      <c r="J461" s="9"/>
      <c r="K461" s="9"/>
      <c r="L461" s="9"/>
      <c r="M461" s="9"/>
    </row>
    <row r="462">
      <c r="J462" s="9"/>
      <c r="K462" s="9"/>
      <c r="L462" s="9"/>
      <c r="M462" s="9"/>
    </row>
    <row r="463">
      <c r="J463" s="9"/>
      <c r="K463" s="9"/>
      <c r="L463" s="9"/>
      <c r="M463" s="9"/>
    </row>
    <row r="464">
      <c r="J464" s="9"/>
      <c r="K464" s="9"/>
      <c r="L464" s="9"/>
      <c r="M464" s="9"/>
    </row>
    <row r="465">
      <c r="J465" s="9"/>
      <c r="K465" s="9"/>
      <c r="L465" s="9"/>
      <c r="M465" s="9"/>
    </row>
    <row r="466">
      <c r="J466" s="9"/>
      <c r="K466" s="9"/>
      <c r="L466" s="9"/>
      <c r="M466" s="9"/>
    </row>
    <row r="467">
      <c r="J467" s="9"/>
      <c r="K467" s="9"/>
      <c r="L467" s="9"/>
      <c r="M467" s="9"/>
    </row>
    <row r="468">
      <c r="J468" s="9"/>
      <c r="K468" s="9"/>
      <c r="L468" s="9"/>
      <c r="M468" s="9"/>
    </row>
    <row r="469">
      <c r="J469" s="9"/>
      <c r="K469" s="9"/>
      <c r="L469" s="9"/>
      <c r="M469" s="9"/>
    </row>
    <row r="470">
      <c r="J470" s="9"/>
      <c r="K470" s="9"/>
      <c r="L470" s="9"/>
      <c r="M470" s="9"/>
    </row>
    <row r="471">
      <c r="J471" s="9"/>
      <c r="K471" s="9"/>
      <c r="L471" s="9"/>
      <c r="M471" s="9"/>
    </row>
    <row r="472">
      <c r="J472" s="9"/>
      <c r="K472" s="9"/>
      <c r="L472" s="9"/>
      <c r="M472" s="9"/>
    </row>
    <row r="473">
      <c r="J473" s="9"/>
      <c r="K473" s="9"/>
      <c r="L473" s="9"/>
      <c r="M473" s="9"/>
    </row>
    <row r="474">
      <c r="J474" s="9"/>
      <c r="K474" s="9"/>
      <c r="L474" s="9"/>
      <c r="M474" s="9"/>
    </row>
    <row r="475">
      <c r="J475" s="9"/>
      <c r="K475" s="9"/>
      <c r="L475" s="9"/>
      <c r="M475" s="9"/>
    </row>
    <row r="476">
      <c r="J476" s="9"/>
      <c r="K476" s="9"/>
      <c r="L476" s="9"/>
      <c r="M476" s="9"/>
    </row>
    <row r="477">
      <c r="J477" s="9"/>
      <c r="K477" s="9"/>
      <c r="L477" s="9"/>
      <c r="M477" s="9"/>
    </row>
    <row r="478">
      <c r="J478" s="9"/>
      <c r="K478" s="9"/>
      <c r="L478" s="9"/>
      <c r="M478" s="9"/>
    </row>
    <row r="479">
      <c r="J479" s="9"/>
      <c r="K479" s="9"/>
      <c r="L479" s="9"/>
      <c r="M479" s="9"/>
    </row>
    <row r="480">
      <c r="J480" s="9"/>
      <c r="K480" s="9"/>
      <c r="L480" s="9"/>
      <c r="M480" s="9"/>
    </row>
    <row r="481">
      <c r="J481" s="9"/>
      <c r="K481" s="9"/>
      <c r="L481" s="9"/>
      <c r="M481" s="9"/>
    </row>
    <row r="482">
      <c r="J482" s="9"/>
      <c r="K482" s="9"/>
      <c r="L482" s="9"/>
      <c r="M482" s="9"/>
    </row>
    <row r="483">
      <c r="J483" s="9"/>
      <c r="K483" s="9"/>
      <c r="L483" s="9"/>
      <c r="M483" s="9"/>
    </row>
    <row r="484">
      <c r="J484" s="9"/>
      <c r="K484" s="9"/>
      <c r="L484" s="9"/>
      <c r="M484" s="9"/>
    </row>
    <row r="485">
      <c r="J485" s="9"/>
      <c r="K485" s="9"/>
      <c r="L485" s="9"/>
      <c r="M485" s="9"/>
    </row>
    <row r="486">
      <c r="J486" s="9"/>
      <c r="K486" s="9"/>
      <c r="L486" s="9"/>
      <c r="M486" s="9"/>
    </row>
    <row r="487">
      <c r="J487" s="9"/>
      <c r="K487" s="9"/>
      <c r="L487" s="9"/>
      <c r="M487" s="9"/>
    </row>
    <row r="488">
      <c r="J488" s="9"/>
      <c r="K488" s="9"/>
      <c r="L488" s="9"/>
      <c r="M488" s="9"/>
    </row>
    <row r="489">
      <c r="J489" s="9"/>
      <c r="K489" s="9"/>
      <c r="L489" s="9"/>
      <c r="M489" s="9"/>
    </row>
    <row r="490">
      <c r="J490" s="9"/>
      <c r="K490" s="9"/>
      <c r="L490" s="9"/>
      <c r="M490" s="9"/>
    </row>
    <row r="491">
      <c r="J491" s="9"/>
      <c r="K491" s="9"/>
      <c r="L491" s="9"/>
      <c r="M491" s="9"/>
    </row>
    <row r="492">
      <c r="J492" s="9"/>
      <c r="K492" s="9"/>
      <c r="L492" s="9"/>
      <c r="M492" s="9"/>
    </row>
    <row r="493">
      <c r="J493" s="9"/>
      <c r="K493" s="9"/>
      <c r="L493" s="9"/>
      <c r="M493" s="9"/>
    </row>
    <row r="494">
      <c r="J494" s="9"/>
      <c r="K494" s="9"/>
      <c r="L494" s="9"/>
      <c r="M494" s="9"/>
    </row>
    <row r="495">
      <c r="J495" s="9"/>
      <c r="K495" s="9"/>
      <c r="L495" s="9"/>
      <c r="M495" s="9"/>
    </row>
    <row r="496">
      <c r="J496" s="9"/>
      <c r="K496" s="9"/>
      <c r="L496" s="9"/>
      <c r="M496" s="9"/>
    </row>
    <row r="497">
      <c r="J497" s="9"/>
      <c r="K497" s="9"/>
      <c r="L497" s="9"/>
      <c r="M497" s="9"/>
    </row>
    <row r="498">
      <c r="J498" s="9"/>
      <c r="K498" s="9"/>
      <c r="L498" s="9"/>
      <c r="M498" s="9"/>
    </row>
    <row r="499">
      <c r="J499" s="9"/>
      <c r="K499" s="9"/>
      <c r="L499" s="9"/>
      <c r="M499" s="9"/>
    </row>
    <row r="500">
      <c r="J500" s="9"/>
      <c r="K500" s="9"/>
      <c r="L500" s="9"/>
      <c r="M500" s="9"/>
    </row>
    <row r="501">
      <c r="J501" s="9"/>
      <c r="K501" s="9"/>
      <c r="L501" s="9"/>
      <c r="M501" s="9"/>
    </row>
    <row r="502">
      <c r="J502" s="9"/>
      <c r="K502" s="9"/>
      <c r="L502" s="9"/>
      <c r="M502" s="9"/>
    </row>
    <row r="503">
      <c r="J503" s="9"/>
      <c r="K503" s="9"/>
      <c r="L503" s="9"/>
      <c r="M503" s="9"/>
    </row>
    <row r="504">
      <c r="J504" s="9"/>
      <c r="K504" s="9"/>
      <c r="L504" s="9"/>
      <c r="M504" s="9"/>
    </row>
    <row r="505">
      <c r="J505" s="9"/>
      <c r="K505" s="9"/>
      <c r="L505" s="9"/>
      <c r="M505" s="9"/>
    </row>
    <row r="506">
      <c r="J506" s="9"/>
      <c r="K506" s="9"/>
      <c r="L506" s="9"/>
      <c r="M506" s="9"/>
    </row>
    <row r="507">
      <c r="J507" s="9"/>
      <c r="K507" s="9"/>
      <c r="L507" s="9"/>
      <c r="M507" s="9"/>
    </row>
    <row r="508">
      <c r="J508" s="9"/>
      <c r="K508" s="9"/>
      <c r="L508" s="9"/>
      <c r="M508" s="9"/>
    </row>
    <row r="509">
      <c r="J509" s="9"/>
      <c r="K509" s="9"/>
      <c r="L509" s="9"/>
      <c r="M509" s="9"/>
    </row>
    <row r="510">
      <c r="J510" s="9"/>
      <c r="K510" s="9"/>
      <c r="L510" s="9"/>
      <c r="M510" s="9"/>
    </row>
    <row r="511">
      <c r="J511" s="9"/>
      <c r="K511" s="9"/>
      <c r="L511" s="9"/>
      <c r="M511" s="9"/>
    </row>
    <row r="512">
      <c r="J512" s="9"/>
      <c r="K512" s="9"/>
      <c r="L512" s="9"/>
      <c r="M512" s="9"/>
    </row>
    <row r="513">
      <c r="J513" s="9"/>
      <c r="K513" s="9"/>
      <c r="L513" s="9"/>
      <c r="M513" s="9"/>
    </row>
    <row r="514">
      <c r="J514" s="9"/>
      <c r="K514" s="9"/>
      <c r="L514" s="9"/>
      <c r="M514" s="9"/>
    </row>
    <row r="515">
      <c r="J515" s="9"/>
      <c r="K515" s="9"/>
      <c r="L515" s="9"/>
      <c r="M515" s="9"/>
    </row>
    <row r="516">
      <c r="J516" s="9"/>
      <c r="K516" s="9"/>
      <c r="L516" s="9"/>
      <c r="M516" s="9"/>
    </row>
    <row r="517">
      <c r="J517" s="9"/>
      <c r="K517" s="9"/>
      <c r="L517" s="9"/>
      <c r="M517" s="9"/>
    </row>
    <row r="518">
      <c r="J518" s="9"/>
      <c r="K518" s="9"/>
      <c r="L518" s="9"/>
      <c r="M518" s="9"/>
    </row>
    <row r="519">
      <c r="J519" s="9"/>
      <c r="K519" s="9"/>
      <c r="L519" s="9"/>
      <c r="M519" s="9"/>
    </row>
    <row r="520">
      <c r="J520" s="9"/>
      <c r="K520" s="9"/>
      <c r="L520" s="9"/>
      <c r="M520" s="9"/>
    </row>
    <row r="521">
      <c r="J521" s="9"/>
      <c r="K521" s="9"/>
      <c r="L521" s="9"/>
      <c r="M521" s="9"/>
    </row>
    <row r="522">
      <c r="J522" s="9"/>
      <c r="K522" s="9"/>
      <c r="L522" s="9"/>
      <c r="M522" s="9"/>
    </row>
    <row r="523">
      <c r="J523" s="9"/>
      <c r="K523" s="9"/>
      <c r="L523" s="9"/>
      <c r="M523" s="9"/>
    </row>
    <row r="524">
      <c r="J524" s="9"/>
      <c r="K524" s="9"/>
      <c r="L524" s="9"/>
      <c r="M524" s="9"/>
    </row>
    <row r="525">
      <c r="J525" s="9"/>
      <c r="K525" s="9"/>
      <c r="L525" s="9"/>
      <c r="M525" s="9"/>
    </row>
    <row r="526">
      <c r="J526" s="9"/>
      <c r="K526" s="9"/>
      <c r="L526" s="9"/>
      <c r="M526" s="9"/>
    </row>
    <row r="527">
      <c r="J527" s="9"/>
      <c r="K527" s="9"/>
      <c r="L527" s="9"/>
      <c r="M527" s="9"/>
    </row>
    <row r="528">
      <c r="J528" s="9"/>
      <c r="K528" s="9"/>
      <c r="L528" s="9"/>
      <c r="M528" s="9"/>
    </row>
    <row r="529">
      <c r="J529" s="9"/>
      <c r="K529" s="9"/>
      <c r="L529" s="9"/>
      <c r="M529" s="9"/>
    </row>
    <row r="530">
      <c r="J530" s="9"/>
      <c r="K530" s="9"/>
      <c r="L530" s="9"/>
      <c r="M530" s="9"/>
    </row>
    <row r="531">
      <c r="J531" s="9"/>
      <c r="K531" s="9"/>
      <c r="L531" s="9"/>
      <c r="M531" s="9"/>
    </row>
    <row r="532">
      <c r="J532" s="9"/>
      <c r="K532" s="9"/>
      <c r="L532" s="9"/>
      <c r="M532" s="9"/>
    </row>
    <row r="533">
      <c r="J533" s="9"/>
      <c r="K533" s="9"/>
      <c r="L533" s="9"/>
      <c r="M533" s="9"/>
    </row>
    <row r="534">
      <c r="J534" s="9"/>
      <c r="K534" s="9"/>
      <c r="L534" s="9"/>
      <c r="M534" s="9"/>
    </row>
    <row r="535">
      <c r="J535" s="9"/>
      <c r="K535" s="9"/>
      <c r="L535" s="9"/>
      <c r="M535" s="9"/>
    </row>
    <row r="536">
      <c r="J536" s="9"/>
      <c r="K536" s="9"/>
      <c r="L536" s="9"/>
      <c r="M536" s="9"/>
    </row>
    <row r="537">
      <c r="J537" s="9"/>
      <c r="K537" s="9"/>
      <c r="L537" s="9"/>
      <c r="M537" s="9"/>
    </row>
    <row r="538">
      <c r="J538" s="9"/>
      <c r="K538" s="9"/>
      <c r="L538" s="9"/>
      <c r="M538" s="9"/>
    </row>
    <row r="539">
      <c r="J539" s="9"/>
      <c r="K539" s="9"/>
      <c r="L539" s="9"/>
      <c r="M539" s="9"/>
    </row>
    <row r="540">
      <c r="J540" s="9"/>
      <c r="K540" s="9"/>
      <c r="L540" s="9"/>
      <c r="M540" s="9"/>
    </row>
    <row r="541">
      <c r="J541" s="9"/>
      <c r="K541" s="9"/>
      <c r="L541" s="9"/>
      <c r="M541" s="9"/>
    </row>
    <row r="542">
      <c r="J542" s="9"/>
      <c r="K542" s="9"/>
      <c r="L542" s="9"/>
      <c r="M542" s="9"/>
    </row>
    <row r="543">
      <c r="J543" s="9"/>
      <c r="K543" s="9"/>
      <c r="L543" s="9"/>
      <c r="M543" s="9"/>
    </row>
    <row r="544">
      <c r="J544" s="9"/>
      <c r="K544" s="9"/>
      <c r="L544" s="9"/>
      <c r="M544" s="9"/>
    </row>
    <row r="545">
      <c r="J545" s="9"/>
      <c r="K545" s="9"/>
      <c r="L545" s="9"/>
      <c r="M545" s="9"/>
    </row>
    <row r="546">
      <c r="J546" s="9"/>
      <c r="K546" s="9"/>
      <c r="L546" s="9"/>
      <c r="M546" s="9"/>
    </row>
    <row r="547">
      <c r="J547" s="9"/>
      <c r="K547" s="9"/>
      <c r="L547" s="9"/>
      <c r="M547" s="9"/>
    </row>
    <row r="548">
      <c r="J548" s="9"/>
      <c r="K548" s="9"/>
      <c r="L548" s="9"/>
      <c r="M548" s="9"/>
    </row>
    <row r="549">
      <c r="J549" s="9"/>
      <c r="K549" s="9"/>
      <c r="L549" s="9"/>
      <c r="M549" s="9"/>
    </row>
    <row r="550">
      <c r="J550" s="9"/>
      <c r="K550" s="9"/>
      <c r="L550" s="9"/>
      <c r="M550" s="9"/>
    </row>
    <row r="551">
      <c r="J551" s="9"/>
      <c r="K551" s="9"/>
      <c r="L551" s="9"/>
      <c r="M551" s="9"/>
    </row>
    <row r="552">
      <c r="J552" s="9"/>
      <c r="K552" s="9"/>
      <c r="L552" s="9"/>
      <c r="M552" s="9"/>
    </row>
    <row r="553">
      <c r="J553" s="9"/>
      <c r="K553" s="9"/>
      <c r="L553" s="9"/>
      <c r="M553" s="9"/>
    </row>
    <row r="554">
      <c r="J554" s="9"/>
      <c r="K554" s="9"/>
      <c r="L554" s="9"/>
      <c r="M554" s="9"/>
    </row>
    <row r="555">
      <c r="J555" s="9"/>
      <c r="K555" s="9"/>
      <c r="L555" s="9"/>
      <c r="M555" s="9"/>
    </row>
    <row r="556">
      <c r="J556" s="9"/>
      <c r="K556" s="9"/>
      <c r="L556" s="9"/>
      <c r="M556" s="9"/>
    </row>
    <row r="557">
      <c r="J557" s="9"/>
      <c r="K557" s="9"/>
      <c r="L557" s="9"/>
      <c r="M557" s="9"/>
    </row>
    <row r="558">
      <c r="J558" s="9"/>
      <c r="K558" s="9"/>
      <c r="L558" s="9"/>
      <c r="M558" s="9"/>
    </row>
    <row r="559">
      <c r="J559" s="9"/>
      <c r="K559" s="9"/>
      <c r="L559" s="9"/>
      <c r="M559" s="9"/>
    </row>
    <row r="560">
      <c r="J560" s="9"/>
      <c r="K560" s="9"/>
      <c r="L560" s="9"/>
      <c r="M560" s="9"/>
    </row>
    <row r="561">
      <c r="J561" s="9"/>
      <c r="K561" s="9"/>
      <c r="L561" s="9"/>
      <c r="M561" s="9"/>
    </row>
    <row r="562">
      <c r="J562" s="9"/>
      <c r="K562" s="9"/>
      <c r="L562" s="9"/>
      <c r="M562" s="9"/>
    </row>
    <row r="563">
      <c r="J563" s="9"/>
      <c r="K563" s="9"/>
      <c r="L563" s="9"/>
      <c r="M563" s="9"/>
    </row>
    <row r="564">
      <c r="J564" s="9"/>
      <c r="K564" s="9"/>
      <c r="L564" s="9"/>
      <c r="M564" s="9"/>
    </row>
    <row r="565">
      <c r="J565" s="9"/>
      <c r="K565" s="9"/>
      <c r="L565" s="9"/>
      <c r="M565" s="9"/>
    </row>
    <row r="566">
      <c r="J566" s="9"/>
      <c r="K566" s="9"/>
      <c r="L566" s="9"/>
      <c r="M566" s="9"/>
    </row>
    <row r="567">
      <c r="J567" s="9"/>
      <c r="K567" s="9"/>
      <c r="L567" s="9"/>
      <c r="M567" s="9"/>
    </row>
    <row r="568">
      <c r="J568" s="9"/>
      <c r="K568" s="9"/>
      <c r="L568" s="9"/>
      <c r="M568" s="9"/>
    </row>
    <row r="569">
      <c r="J569" s="9"/>
      <c r="K569" s="9"/>
      <c r="L569" s="9"/>
      <c r="M569" s="9"/>
    </row>
    <row r="570">
      <c r="J570" s="9"/>
      <c r="K570" s="9"/>
      <c r="L570" s="9"/>
      <c r="M570" s="9"/>
    </row>
    <row r="571">
      <c r="J571" s="9"/>
      <c r="K571" s="9"/>
      <c r="L571" s="9"/>
      <c r="M571" s="9"/>
    </row>
    <row r="572">
      <c r="J572" s="9"/>
      <c r="K572" s="9"/>
      <c r="L572" s="9"/>
      <c r="M572" s="9"/>
    </row>
    <row r="573">
      <c r="J573" s="9"/>
      <c r="K573" s="9"/>
      <c r="L573" s="9"/>
      <c r="M573" s="9"/>
    </row>
    <row r="574">
      <c r="J574" s="9"/>
      <c r="K574" s="9"/>
      <c r="L574" s="9"/>
      <c r="M574" s="9"/>
    </row>
    <row r="575">
      <c r="J575" s="9"/>
      <c r="K575" s="9"/>
      <c r="L575" s="9"/>
      <c r="M575" s="9"/>
    </row>
    <row r="576">
      <c r="J576" s="9"/>
      <c r="K576" s="9"/>
      <c r="L576" s="9"/>
      <c r="M576" s="9"/>
    </row>
    <row r="577">
      <c r="J577" s="9"/>
      <c r="K577" s="9"/>
      <c r="L577" s="9"/>
      <c r="M577" s="9"/>
    </row>
    <row r="578">
      <c r="J578" s="9"/>
      <c r="K578" s="9"/>
      <c r="L578" s="9"/>
      <c r="M578" s="9"/>
    </row>
    <row r="579">
      <c r="J579" s="9"/>
      <c r="K579" s="9"/>
      <c r="L579" s="9"/>
      <c r="M579" s="9"/>
    </row>
    <row r="580">
      <c r="J580" s="9"/>
      <c r="K580" s="9"/>
      <c r="L580" s="9"/>
      <c r="M580" s="9"/>
    </row>
    <row r="581">
      <c r="J581" s="9"/>
      <c r="K581" s="9"/>
      <c r="L581" s="9"/>
      <c r="M581" s="9"/>
    </row>
    <row r="582">
      <c r="J582" s="9"/>
      <c r="K582" s="9"/>
      <c r="L582" s="9"/>
      <c r="M582" s="9"/>
    </row>
    <row r="583">
      <c r="J583" s="9"/>
      <c r="K583" s="9"/>
      <c r="L583" s="9"/>
      <c r="M583" s="9"/>
    </row>
    <row r="584">
      <c r="J584" s="9"/>
      <c r="K584" s="9"/>
      <c r="L584" s="9"/>
      <c r="M584" s="9"/>
    </row>
    <row r="585">
      <c r="J585" s="9"/>
      <c r="K585" s="9"/>
      <c r="L585" s="9"/>
      <c r="M585" s="9"/>
    </row>
    <row r="586">
      <c r="J586" s="9"/>
      <c r="K586" s="9"/>
      <c r="L586" s="9"/>
      <c r="M586" s="9"/>
    </row>
    <row r="587">
      <c r="J587" s="9"/>
      <c r="K587" s="9"/>
      <c r="L587" s="9"/>
      <c r="M587" s="9"/>
    </row>
    <row r="588">
      <c r="J588" s="9"/>
      <c r="K588" s="9"/>
      <c r="L588" s="9"/>
      <c r="M588" s="9"/>
    </row>
    <row r="589">
      <c r="J589" s="9"/>
      <c r="K589" s="9"/>
      <c r="L589" s="9"/>
      <c r="M589" s="9"/>
    </row>
    <row r="590">
      <c r="J590" s="9"/>
      <c r="K590" s="9"/>
      <c r="L590" s="9"/>
      <c r="M590" s="9"/>
    </row>
    <row r="591">
      <c r="J591" s="9"/>
      <c r="K591" s="9"/>
      <c r="L591" s="9"/>
      <c r="M591" s="9"/>
    </row>
    <row r="592">
      <c r="J592" s="9"/>
      <c r="K592" s="9"/>
      <c r="L592" s="9"/>
      <c r="M592" s="9"/>
    </row>
    <row r="593">
      <c r="J593" s="9"/>
      <c r="K593" s="9"/>
      <c r="L593" s="9"/>
      <c r="M593" s="9"/>
    </row>
    <row r="594">
      <c r="J594" s="9"/>
      <c r="K594" s="9"/>
      <c r="L594" s="9"/>
      <c r="M594" s="9"/>
    </row>
    <row r="595">
      <c r="J595" s="9"/>
      <c r="K595" s="9"/>
      <c r="L595" s="9"/>
      <c r="M595" s="9"/>
    </row>
    <row r="596">
      <c r="J596" s="9"/>
      <c r="K596" s="9"/>
      <c r="L596" s="9"/>
      <c r="M596" s="9"/>
    </row>
    <row r="597">
      <c r="J597" s="9"/>
      <c r="K597" s="9"/>
      <c r="L597" s="9"/>
      <c r="M597" s="9"/>
    </row>
    <row r="598">
      <c r="J598" s="9"/>
      <c r="K598" s="9"/>
      <c r="L598" s="9"/>
      <c r="M598" s="9"/>
    </row>
    <row r="599">
      <c r="J599" s="9"/>
      <c r="K599" s="9"/>
      <c r="L599" s="9"/>
      <c r="M599" s="9"/>
    </row>
    <row r="600">
      <c r="J600" s="9"/>
      <c r="K600" s="9"/>
      <c r="L600" s="9"/>
      <c r="M600" s="9"/>
    </row>
    <row r="601">
      <c r="J601" s="9"/>
      <c r="K601" s="9"/>
      <c r="L601" s="9"/>
      <c r="M601" s="9"/>
    </row>
    <row r="602">
      <c r="J602" s="9"/>
      <c r="K602" s="9"/>
      <c r="L602" s="9"/>
      <c r="M602" s="9"/>
    </row>
    <row r="603">
      <c r="J603" s="9"/>
      <c r="K603" s="9"/>
      <c r="L603" s="9"/>
      <c r="M603" s="9"/>
    </row>
    <row r="604">
      <c r="J604" s="9"/>
      <c r="K604" s="9"/>
      <c r="L604" s="9"/>
      <c r="M604" s="9"/>
    </row>
    <row r="605">
      <c r="J605" s="9"/>
      <c r="K605" s="9"/>
      <c r="L605" s="9"/>
      <c r="M605" s="9"/>
    </row>
    <row r="606">
      <c r="J606" s="9"/>
      <c r="K606" s="9"/>
      <c r="L606" s="9"/>
      <c r="M606" s="9"/>
    </row>
    <row r="607">
      <c r="J607" s="9"/>
      <c r="K607" s="9"/>
      <c r="L607" s="9"/>
      <c r="M607" s="9"/>
    </row>
    <row r="608">
      <c r="J608" s="9"/>
      <c r="K608" s="9"/>
      <c r="L608" s="9"/>
      <c r="M608" s="9"/>
    </row>
    <row r="609">
      <c r="J609" s="9"/>
      <c r="K609" s="9"/>
      <c r="L609" s="9"/>
      <c r="M609" s="9"/>
    </row>
    <row r="610">
      <c r="J610" s="9"/>
      <c r="K610" s="9"/>
      <c r="L610" s="9"/>
      <c r="M610" s="9"/>
    </row>
    <row r="611">
      <c r="J611" s="9"/>
      <c r="K611" s="9"/>
      <c r="L611" s="9"/>
      <c r="M611" s="9"/>
    </row>
    <row r="612">
      <c r="J612" s="9"/>
      <c r="K612" s="9"/>
      <c r="L612" s="9"/>
      <c r="M612" s="9"/>
    </row>
    <row r="613">
      <c r="J613" s="9"/>
      <c r="K613" s="9"/>
      <c r="L613" s="9"/>
      <c r="M613" s="9"/>
    </row>
    <row r="614">
      <c r="J614" s="9"/>
      <c r="K614" s="9"/>
      <c r="L614" s="9"/>
      <c r="M614" s="9"/>
    </row>
    <row r="615">
      <c r="J615" s="9"/>
      <c r="K615" s="9"/>
      <c r="L615" s="9"/>
      <c r="M615" s="9"/>
    </row>
    <row r="616">
      <c r="J616" s="9"/>
      <c r="K616" s="9"/>
      <c r="L616" s="9"/>
      <c r="M616" s="9"/>
    </row>
    <row r="617">
      <c r="J617" s="9"/>
      <c r="K617" s="9"/>
      <c r="L617" s="9"/>
      <c r="M617" s="9"/>
    </row>
    <row r="618">
      <c r="J618" s="9"/>
      <c r="K618" s="9"/>
      <c r="L618" s="9"/>
      <c r="M618" s="9"/>
    </row>
    <row r="619">
      <c r="J619" s="9"/>
      <c r="K619" s="9"/>
      <c r="L619" s="9"/>
      <c r="M619" s="9"/>
    </row>
    <row r="620">
      <c r="J620" s="9"/>
      <c r="K620" s="9"/>
      <c r="L620" s="9"/>
      <c r="M620" s="9"/>
    </row>
    <row r="621">
      <c r="J621" s="9"/>
      <c r="K621" s="9"/>
      <c r="L621" s="9"/>
      <c r="M621" s="9"/>
    </row>
    <row r="622">
      <c r="J622" s="9"/>
      <c r="K622" s="9"/>
      <c r="L622" s="9"/>
      <c r="M622" s="9"/>
    </row>
    <row r="623">
      <c r="J623" s="9"/>
      <c r="K623" s="9"/>
      <c r="L623" s="9"/>
      <c r="M623" s="9"/>
    </row>
    <row r="624">
      <c r="J624" s="9"/>
      <c r="K624" s="9"/>
      <c r="L624" s="9"/>
      <c r="M624" s="9"/>
    </row>
    <row r="625">
      <c r="J625" s="9"/>
      <c r="K625" s="9"/>
      <c r="L625" s="9"/>
      <c r="M625" s="9"/>
    </row>
    <row r="626">
      <c r="J626" s="9"/>
      <c r="K626" s="9"/>
      <c r="L626" s="9"/>
      <c r="M626" s="9"/>
    </row>
    <row r="627">
      <c r="J627" s="9"/>
      <c r="K627" s="9"/>
      <c r="L627" s="9"/>
      <c r="M627" s="9"/>
    </row>
    <row r="628">
      <c r="J628" s="9"/>
      <c r="K628" s="9"/>
      <c r="L628" s="9"/>
      <c r="M628" s="9"/>
    </row>
    <row r="629">
      <c r="J629" s="9"/>
      <c r="K629" s="9"/>
      <c r="L629" s="9"/>
      <c r="M629" s="9"/>
    </row>
    <row r="630">
      <c r="J630" s="9"/>
      <c r="K630" s="9"/>
      <c r="L630" s="9"/>
      <c r="M630" s="9"/>
    </row>
    <row r="631">
      <c r="J631" s="9"/>
      <c r="K631" s="9"/>
      <c r="L631" s="9"/>
      <c r="M631" s="9"/>
    </row>
    <row r="632">
      <c r="J632" s="9"/>
      <c r="K632" s="9"/>
      <c r="L632" s="9"/>
      <c r="M632" s="9"/>
    </row>
    <row r="633">
      <c r="J633" s="9"/>
      <c r="K633" s="9"/>
      <c r="L633" s="9"/>
      <c r="M633" s="9"/>
    </row>
    <row r="634">
      <c r="J634" s="9"/>
      <c r="K634" s="9"/>
      <c r="L634" s="9"/>
      <c r="M634" s="9"/>
    </row>
    <row r="635">
      <c r="J635" s="9"/>
      <c r="K635" s="9"/>
      <c r="L635" s="9"/>
      <c r="M635" s="9"/>
    </row>
    <row r="636">
      <c r="J636" s="9"/>
      <c r="K636" s="9"/>
      <c r="L636" s="9"/>
      <c r="M636" s="9"/>
    </row>
    <row r="637">
      <c r="J637" s="9"/>
      <c r="K637" s="9"/>
      <c r="L637" s="9"/>
      <c r="M637" s="9"/>
    </row>
    <row r="638">
      <c r="J638" s="9"/>
      <c r="K638" s="9"/>
      <c r="L638" s="9"/>
      <c r="M638" s="9"/>
    </row>
    <row r="639">
      <c r="J639" s="9"/>
      <c r="K639" s="9"/>
      <c r="L639" s="9"/>
      <c r="M639" s="9"/>
    </row>
    <row r="640">
      <c r="J640" s="9"/>
      <c r="K640" s="9"/>
      <c r="L640" s="9"/>
      <c r="M640" s="9"/>
    </row>
    <row r="641">
      <c r="J641" s="9"/>
      <c r="K641" s="9"/>
      <c r="L641" s="9"/>
      <c r="M641" s="9"/>
    </row>
    <row r="642">
      <c r="J642" s="9"/>
      <c r="K642" s="9"/>
      <c r="L642" s="9"/>
      <c r="M642" s="9"/>
    </row>
    <row r="643">
      <c r="J643" s="9"/>
      <c r="K643" s="9"/>
      <c r="L643" s="9"/>
      <c r="M643" s="9"/>
    </row>
    <row r="644">
      <c r="J644" s="9"/>
      <c r="K644" s="9"/>
      <c r="L644" s="9"/>
      <c r="M644" s="9"/>
    </row>
    <row r="645">
      <c r="J645" s="9"/>
      <c r="K645" s="9"/>
      <c r="L645" s="9"/>
      <c r="M645" s="9"/>
    </row>
    <row r="646">
      <c r="J646" s="9"/>
      <c r="K646" s="9"/>
      <c r="L646" s="9"/>
      <c r="M646" s="9"/>
    </row>
    <row r="647">
      <c r="J647" s="9"/>
      <c r="K647" s="9"/>
      <c r="L647" s="9"/>
      <c r="M647" s="9"/>
    </row>
    <row r="648">
      <c r="J648" s="9"/>
      <c r="K648" s="9"/>
      <c r="L648" s="9"/>
      <c r="M648" s="9"/>
    </row>
    <row r="649">
      <c r="J649" s="9"/>
      <c r="K649" s="9"/>
      <c r="L649" s="9"/>
      <c r="M649" s="9"/>
    </row>
    <row r="650">
      <c r="J650" s="9"/>
      <c r="K650" s="9"/>
      <c r="L650" s="9"/>
      <c r="M650" s="9"/>
    </row>
    <row r="651">
      <c r="J651" s="9"/>
      <c r="K651" s="9"/>
      <c r="L651" s="9"/>
      <c r="M651" s="9"/>
    </row>
    <row r="652">
      <c r="J652" s="9"/>
      <c r="K652" s="9"/>
      <c r="L652" s="9"/>
      <c r="M652" s="9"/>
    </row>
    <row r="653">
      <c r="J653" s="9"/>
      <c r="K653" s="9"/>
      <c r="L653" s="9"/>
      <c r="M653" s="9"/>
    </row>
    <row r="654">
      <c r="J654" s="9"/>
      <c r="K654" s="9"/>
      <c r="L654" s="9"/>
      <c r="M654" s="9"/>
    </row>
    <row r="655">
      <c r="J655" s="9"/>
      <c r="K655" s="9"/>
      <c r="L655" s="9"/>
      <c r="M655" s="9"/>
    </row>
    <row r="656">
      <c r="J656" s="9"/>
      <c r="K656" s="9"/>
      <c r="L656" s="9"/>
      <c r="M656" s="9"/>
    </row>
    <row r="657">
      <c r="J657" s="9"/>
      <c r="K657" s="9"/>
      <c r="L657" s="9"/>
      <c r="M657" s="9"/>
    </row>
    <row r="658">
      <c r="J658" s="9"/>
      <c r="K658" s="9"/>
      <c r="L658" s="9"/>
      <c r="M658" s="9"/>
    </row>
    <row r="659">
      <c r="J659" s="9"/>
      <c r="K659" s="9"/>
      <c r="L659" s="9"/>
      <c r="M659" s="9"/>
    </row>
    <row r="660">
      <c r="J660" s="9"/>
      <c r="K660" s="9"/>
      <c r="L660" s="9"/>
      <c r="M660" s="9"/>
    </row>
    <row r="661">
      <c r="J661" s="9"/>
      <c r="K661" s="9"/>
      <c r="L661" s="9"/>
      <c r="M661" s="9"/>
    </row>
    <row r="662">
      <c r="J662" s="9"/>
      <c r="K662" s="9"/>
      <c r="L662" s="9"/>
      <c r="M662" s="9"/>
    </row>
    <row r="663">
      <c r="J663" s="9"/>
      <c r="K663" s="9"/>
      <c r="L663" s="9"/>
      <c r="M663" s="9"/>
    </row>
    <row r="664">
      <c r="J664" s="9"/>
      <c r="K664" s="9"/>
      <c r="L664" s="9"/>
      <c r="M664" s="9"/>
    </row>
    <row r="665">
      <c r="J665" s="9"/>
      <c r="K665" s="9"/>
      <c r="L665" s="9"/>
      <c r="M665" s="9"/>
    </row>
    <row r="666">
      <c r="J666" s="9"/>
      <c r="K666" s="9"/>
      <c r="L666" s="9"/>
      <c r="M666" s="9"/>
    </row>
    <row r="667">
      <c r="J667" s="9"/>
      <c r="K667" s="9"/>
      <c r="L667" s="9"/>
      <c r="M667" s="9"/>
    </row>
    <row r="668">
      <c r="J668" s="9"/>
      <c r="K668" s="9"/>
      <c r="L668" s="9"/>
      <c r="M668" s="9"/>
    </row>
    <row r="669">
      <c r="J669" s="9"/>
      <c r="K669" s="9"/>
      <c r="L669" s="9"/>
      <c r="M669" s="9"/>
    </row>
    <row r="670">
      <c r="J670" s="9"/>
      <c r="K670" s="9"/>
      <c r="L670" s="9"/>
      <c r="M670" s="9"/>
    </row>
    <row r="671">
      <c r="J671" s="9"/>
      <c r="K671" s="9"/>
      <c r="L671" s="9"/>
      <c r="M671" s="9"/>
    </row>
    <row r="672">
      <c r="J672" s="9"/>
      <c r="K672" s="9"/>
      <c r="L672" s="9"/>
      <c r="M672" s="9"/>
    </row>
    <row r="673">
      <c r="J673" s="9"/>
      <c r="K673" s="9"/>
      <c r="L673" s="9"/>
      <c r="M673" s="9"/>
    </row>
    <row r="674">
      <c r="J674" s="9"/>
      <c r="K674" s="9"/>
      <c r="L674" s="9"/>
      <c r="M674" s="9"/>
    </row>
    <row r="675">
      <c r="J675" s="9"/>
      <c r="K675" s="9"/>
      <c r="L675" s="9"/>
      <c r="M675" s="9"/>
    </row>
    <row r="676">
      <c r="J676" s="9"/>
      <c r="K676" s="9"/>
      <c r="L676" s="9"/>
      <c r="M676" s="9"/>
    </row>
    <row r="677">
      <c r="J677" s="9"/>
      <c r="K677" s="9"/>
      <c r="L677" s="9"/>
      <c r="M677" s="9"/>
    </row>
    <row r="678">
      <c r="J678" s="9"/>
      <c r="K678" s="9"/>
      <c r="L678" s="9"/>
      <c r="M678" s="9"/>
    </row>
    <row r="679">
      <c r="J679" s="9"/>
      <c r="K679" s="9"/>
      <c r="L679" s="9"/>
      <c r="M679" s="9"/>
    </row>
    <row r="680">
      <c r="J680" s="9"/>
      <c r="K680" s="9"/>
      <c r="L680" s="9"/>
      <c r="M680" s="9"/>
    </row>
    <row r="681">
      <c r="J681" s="9"/>
      <c r="K681" s="9"/>
      <c r="L681" s="9"/>
      <c r="M681" s="9"/>
    </row>
    <row r="682">
      <c r="J682" s="9"/>
      <c r="K682" s="9"/>
      <c r="L682" s="9"/>
      <c r="M682" s="9"/>
    </row>
    <row r="683">
      <c r="J683" s="9"/>
      <c r="K683" s="9"/>
      <c r="L683" s="9"/>
      <c r="M683" s="9"/>
    </row>
    <row r="684">
      <c r="J684" s="9"/>
      <c r="K684" s="9"/>
      <c r="L684" s="9"/>
      <c r="M684" s="9"/>
    </row>
    <row r="685">
      <c r="J685" s="9"/>
      <c r="K685" s="9"/>
      <c r="L685" s="9"/>
      <c r="M685" s="9"/>
    </row>
    <row r="686">
      <c r="J686" s="9"/>
      <c r="K686" s="9"/>
      <c r="L686" s="9"/>
      <c r="M686" s="9"/>
    </row>
    <row r="687">
      <c r="J687" s="9"/>
      <c r="K687" s="9"/>
      <c r="L687" s="9"/>
      <c r="M687" s="9"/>
    </row>
    <row r="688">
      <c r="J688" s="9"/>
      <c r="K688" s="9"/>
      <c r="L688" s="9"/>
      <c r="M688" s="9"/>
    </row>
    <row r="689">
      <c r="J689" s="9"/>
      <c r="K689" s="9"/>
      <c r="L689" s="9"/>
      <c r="M689" s="9"/>
    </row>
    <row r="690">
      <c r="J690" s="9"/>
      <c r="K690" s="9"/>
      <c r="L690" s="9"/>
      <c r="M690" s="9"/>
    </row>
    <row r="691">
      <c r="J691" s="9"/>
      <c r="K691" s="9"/>
      <c r="L691" s="9"/>
      <c r="M691" s="9"/>
    </row>
    <row r="692">
      <c r="J692" s="9"/>
      <c r="K692" s="9"/>
      <c r="L692" s="9"/>
      <c r="M692" s="9"/>
    </row>
    <row r="693">
      <c r="J693" s="9"/>
      <c r="K693" s="9"/>
      <c r="L693" s="9"/>
      <c r="M693" s="9"/>
    </row>
    <row r="694">
      <c r="J694" s="9"/>
      <c r="K694" s="9"/>
      <c r="L694" s="9"/>
      <c r="M694" s="9"/>
    </row>
    <row r="695">
      <c r="J695" s="9"/>
      <c r="K695" s="9"/>
      <c r="L695" s="9"/>
      <c r="M695" s="9"/>
    </row>
    <row r="696">
      <c r="J696" s="9"/>
      <c r="K696" s="9"/>
      <c r="L696" s="9"/>
      <c r="M696" s="9"/>
    </row>
    <row r="697">
      <c r="J697" s="9"/>
      <c r="K697" s="9"/>
      <c r="L697" s="9"/>
      <c r="M697" s="9"/>
    </row>
    <row r="698">
      <c r="J698" s="9"/>
      <c r="K698" s="9"/>
      <c r="L698" s="9"/>
      <c r="M698" s="9"/>
    </row>
    <row r="699">
      <c r="J699" s="9"/>
      <c r="K699" s="9"/>
      <c r="L699" s="9"/>
      <c r="M699" s="9"/>
    </row>
    <row r="700">
      <c r="J700" s="9"/>
      <c r="K700" s="9"/>
      <c r="L700" s="9"/>
      <c r="M700" s="9"/>
    </row>
    <row r="701">
      <c r="J701" s="9"/>
      <c r="K701" s="9"/>
      <c r="L701" s="9"/>
      <c r="M701" s="9"/>
    </row>
    <row r="702">
      <c r="J702" s="9"/>
      <c r="K702" s="9"/>
      <c r="L702" s="9"/>
      <c r="M702" s="9"/>
    </row>
    <row r="703">
      <c r="J703" s="9"/>
      <c r="K703" s="9"/>
      <c r="L703" s="9"/>
      <c r="M703" s="9"/>
    </row>
    <row r="704">
      <c r="J704" s="9"/>
      <c r="K704" s="9"/>
      <c r="L704" s="9"/>
      <c r="M704" s="9"/>
    </row>
    <row r="705">
      <c r="J705" s="9"/>
      <c r="K705" s="9"/>
      <c r="L705" s="9"/>
      <c r="M705" s="9"/>
    </row>
    <row r="706">
      <c r="J706" s="9"/>
      <c r="K706" s="9"/>
      <c r="L706" s="9"/>
      <c r="M706" s="9"/>
    </row>
    <row r="707">
      <c r="J707" s="9"/>
      <c r="K707" s="9"/>
      <c r="L707" s="9"/>
      <c r="M707" s="9"/>
    </row>
    <row r="708">
      <c r="J708" s="9"/>
      <c r="K708" s="9"/>
      <c r="L708" s="9"/>
      <c r="M708" s="9"/>
    </row>
    <row r="709">
      <c r="J709" s="9"/>
      <c r="K709" s="9"/>
      <c r="L709" s="9"/>
      <c r="M709" s="9"/>
    </row>
    <row r="710">
      <c r="J710" s="9"/>
      <c r="K710" s="9"/>
      <c r="L710" s="9"/>
      <c r="M710" s="9"/>
    </row>
    <row r="711">
      <c r="J711" s="9"/>
      <c r="K711" s="9"/>
      <c r="L711" s="9"/>
      <c r="M711" s="9"/>
    </row>
    <row r="712">
      <c r="J712" s="9"/>
      <c r="K712" s="9"/>
      <c r="L712" s="9"/>
      <c r="M712" s="9"/>
    </row>
    <row r="713">
      <c r="J713" s="9"/>
      <c r="K713" s="9"/>
      <c r="L713" s="9"/>
      <c r="M713" s="9"/>
    </row>
    <row r="714">
      <c r="J714" s="9"/>
      <c r="K714" s="9"/>
      <c r="L714" s="9"/>
      <c r="M714" s="9"/>
    </row>
    <row r="715">
      <c r="J715" s="9"/>
      <c r="K715" s="9"/>
      <c r="L715" s="9"/>
      <c r="M715" s="9"/>
    </row>
    <row r="716">
      <c r="J716" s="9"/>
      <c r="K716" s="9"/>
      <c r="L716" s="9"/>
      <c r="M716" s="9"/>
    </row>
    <row r="717">
      <c r="J717" s="9"/>
      <c r="K717" s="9"/>
      <c r="L717" s="9"/>
      <c r="M717" s="9"/>
    </row>
    <row r="718">
      <c r="J718" s="9"/>
      <c r="K718" s="9"/>
      <c r="L718" s="9"/>
      <c r="M718" s="9"/>
    </row>
    <row r="719">
      <c r="J719" s="9"/>
      <c r="K719" s="9"/>
      <c r="L719" s="9"/>
      <c r="M719" s="9"/>
    </row>
    <row r="720">
      <c r="J720" s="9"/>
      <c r="K720" s="9"/>
      <c r="L720" s="9"/>
      <c r="M720" s="9"/>
    </row>
    <row r="721">
      <c r="J721" s="9"/>
      <c r="K721" s="9"/>
      <c r="L721" s="9"/>
      <c r="M721" s="9"/>
    </row>
    <row r="722">
      <c r="J722" s="9"/>
      <c r="K722" s="9"/>
      <c r="L722" s="9"/>
      <c r="M722" s="9"/>
    </row>
    <row r="723">
      <c r="J723" s="9"/>
      <c r="K723" s="9"/>
      <c r="L723" s="9"/>
      <c r="M723" s="9"/>
    </row>
    <row r="724">
      <c r="J724" s="9"/>
      <c r="K724" s="9"/>
      <c r="L724" s="9"/>
      <c r="M724" s="9"/>
    </row>
    <row r="725">
      <c r="J725" s="9"/>
      <c r="K725" s="9"/>
      <c r="L725" s="9"/>
      <c r="M725" s="9"/>
    </row>
    <row r="726">
      <c r="J726" s="9"/>
      <c r="K726" s="9"/>
      <c r="L726" s="9"/>
      <c r="M726" s="9"/>
    </row>
    <row r="727">
      <c r="J727" s="9"/>
      <c r="K727" s="9"/>
      <c r="L727" s="9"/>
      <c r="M727" s="9"/>
    </row>
    <row r="728">
      <c r="J728" s="9"/>
      <c r="K728" s="9"/>
      <c r="L728" s="9"/>
      <c r="M728" s="9"/>
    </row>
    <row r="729">
      <c r="J729" s="9"/>
      <c r="K729" s="9"/>
      <c r="L729" s="9"/>
      <c r="M729" s="9"/>
    </row>
    <row r="730">
      <c r="J730" s="9"/>
      <c r="K730" s="9"/>
      <c r="L730" s="9"/>
      <c r="M730" s="9"/>
    </row>
    <row r="731">
      <c r="J731" s="9"/>
      <c r="K731" s="9"/>
      <c r="L731" s="9"/>
      <c r="M731" s="9"/>
    </row>
    <row r="732">
      <c r="J732" s="9"/>
      <c r="K732" s="9"/>
      <c r="L732" s="9"/>
      <c r="M732" s="9"/>
    </row>
    <row r="733">
      <c r="J733" s="9"/>
      <c r="K733" s="9"/>
      <c r="L733" s="9"/>
      <c r="M733" s="9"/>
    </row>
    <row r="734">
      <c r="J734" s="9"/>
      <c r="K734" s="9"/>
      <c r="L734" s="9"/>
      <c r="M734" s="9"/>
    </row>
    <row r="735">
      <c r="J735" s="9"/>
      <c r="K735" s="9"/>
      <c r="L735" s="9"/>
      <c r="M735" s="9"/>
    </row>
    <row r="736">
      <c r="J736" s="9"/>
      <c r="K736" s="9"/>
      <c r="L736" s="9"/>
      <c r="M736" s="9"/>
    </row>
    <row r="737">
      <c r="J737" s="9"/>
      <c r="K737" s="9"/>
      <c r="L737" s="9"/>
      <c r="M737" s="9"/>
    </row>
    <row r="738">
      <c r="J738" s="9"/>
      <c r="K738" s="9"/>
      <c r="L738" s="9"/>
      <c r="M738" s="9"/>
    </row>
    <row r="739">
      <c r="J739" s="9"/>
      <c r="K739" s="9"/>
      <c r="L739" s="9"/>
      <c r="M739" s="9"/>
    </row>
    <row r="740">
      <c r="J740" s="9"/>
      <c r="K740" s="9"/>
      <c r="L740" s="9"/>
      <c r="M740" s="9"/>
    </row>
    <row r="741">
      <c r="J741" s="9"/>
      <c r="K741" s="9"/>
      <c r="L741" s="9"/>
      <c r="M741" s="9"/>
    </row>
    <row r="742">
      <c r="J742" s="9"/>
      <c r="K742" s="9"/>
      <c r="L742" s="9"/>
      <c r="M742" s="9"/>
    </row>
    <row r="743">
      <c r="J743" s="9"/>
      <c r="K743" s="9"/>
      <c r="L743" s="9"/>
      <c r="M743" s="9"/>
    </row>
    <row r="744">
      <c r="J744" s="9"/>
      <c r="K744" s="9"/>
      <c r="L744" s="9"/>
      <c r="M744" s="9"/>
    </row>
    <row r="745">
      <c r="J745" s="9"/>
      <c r="K745" s="9"/>
      <c r="L745" s="9"/>
      <c r="M745" s="9"/>
    </row>
    <row r="746">
      <c r="J746" s="9"/>
      <c r="K746" s="9"/>
      <c r="L746" s="9"/>
      <c r="M746" s="9"/>
    </row>
    <row r="747">
      <c r="J747" s="9"/>
      <c r="K747" s="9"/>
      <c r="L747" s="9"/>
      <c r="M747" s="9"/>
    </row>
    <row r="748">
      <c r="J748" s="9"/>
      <c r="K748" s="9"/>
      <c r="L748" s="9"/>
      <c r="M748" s="9"/>
    </row>
    <row r="749">
      <c r="J749" s="9"/>
      <c r="K749" s="9"/>
      <c r="L749" s="9"/>
      <c r="M749" s="9"/>
    </row>
    <row r="750">
      <c r="J750" s="9"/>
      <c r="K750" s="9"/>
      <c r="L750" s="9"/>
      <c r="M750" s="9"/>
    </row>
    <row r="751">
      <c r="J751" s="9"/>
      <c r="K751" s="9"/>
      <c r="L751" s="9"/>
      <c r="M751" s="9"/>
    </row>
    <row r="752">
      <c r="J752" s="9"/>
      <c r="K752" s="9"/>
      <c r="L752" s="9"/>
      <c r="M752" s="9"/>
    </row>
    <row r="753">
      <c r="J753" s="9"/>
      <c r="K753" s="9"/>
      <c r="L753" s="9"/>
      <c r="M753" s="9"/>
    </row>
    <row r="754">
      <c r="J754" s="9"/>
      <c r="K754" s="9"/>
      <c r="L754" s="9"/>
      <c r="M754" s="9"/>
    </row>
    <row r="755">
      <c r="J755" s="9"/>
      <c r="K755" s="9"/>
      <c r="L755" s="9"/>
      <c r="M755" s="9"/>
    </row>
    <row r="756">
      <c r="J756" s="9"/>
      <c r="K756" s="9"/>
      <c r="L756" s="9"/>
      <c r="M756" s="9"/>
    </row>
    <row r="757">
      <c r="J757" s="9"/>
      <c r="K757" s="9"/>
      <c r="L757" s="9"/>
      <c r="M757" s="9"/>
    </row>
    <row r="758">
      <c r="J758" s="9"/>
      <c r="K758" s="9"/>
      <c r="L758" s="9"/>
      <c r="M758" s="9"/>
    </row>
    <row r="759">
      <c r="J759" s="9"/>
      <c r="K759" s="9"/>
      <c r="L759" s="9"/>
      <c r="M759" s="9"/>
    </row>
    <row r="760">
      <c r="J760" s="9"/>
      <c r="K760" s="9"/>
      <c r="L760" s="9"/>
      <c r="M760" s="9"/>
    </row>
    <row r="761">
      <c r="J761" s="9"/>
      <c r="K761" s="9"/>
      <c r="L761" s="9"/>
      <c r="M761" s="9"/>
    </row>
    <row r="762">
      <c r="J762" s="9"/>
      <c r="K762" s="9"/>
      <c r="L762" s="9"/>
      <c r="M762" s="9"/>
    </row>
    <row r="763">
      <c r="J763" s="9"/>
      <c r="K763" s="9"/>
      <c r="L763" s="9"/>
      <c r="M763" s="9"/>
    </row>
    <row r="764">
      <c r="J764" s="9"/>
      <c r="K764" s="9"/>
      <c r="L764" s="9"/>
      <c r="M764" s="9"/>
    </row>
    <row r="765">
      <c r="J765" s="9"/>
      <c r="K765" s="9"/>
      <c r="L765" s="9"/>
      <c r="M765" s="9"/>
    </row>
    <row r="766">
      <c r="J766" s="9"/>
      <c r="K766" s="9"/>
      <c r="L766" s="9"/>
      <c r="M766" s="9"/>
    </row>
    <row r="767">
      <c r="J767" s="9"/>
      <c r="K767" s="9"/>
      <c r="L767" s="9"/>
      <c r="M767" s="9"/>
    </row>
    <row r="768">
      <c r="J768" s="9"/>
      <c r="K768" s="9"/>
      <c r="L768" s="9"/>
      <c r="M768" s="9"/>
    </row>
    <row r="769">
      <c r="J769" s="9"/>
      <c r="K769" s="9"/>
      <c r="L769" s="9"/>
      <c r="M769" s="9"/>
    </row>
    <row r="770">
      <c r="J770" s="9"/>
      <c r="K770" s="9"/>
      <c r="L770" s="9"/>
      <c r="M770" s="9"/>
    </row>
    <row r="771">
      <c r="J771" s="9"/>
      <c r="K771" s="9"/>
      <c r="L771" s="9"/>
      <c r="M771" s="9"/>
    </row>
    <row r="772">
      <c r="J772" s="9"/>
      <c r="K772" s="9"/>
      <c r="L772" s="9"/>
      <c r="M772" s="9"/>
    </row>
    <row r="773">
      <c r="J773" s="9"/>
      <c r="K773" s="9"/>
      <c r="L773" s="9"/>
      <c r="M773" s="9"/>
    </row>
    <row r="774">
      <c r="J774" s="9"/>
      <c r="K774" s="9"/>
      <c r="L774" s="9"/>
      <c r="M774" s="9"/>
    </row>
    <row r="775">
      <c r="J775" s="9"/>
      <c r="K775" s="9"/>
      <c r="L775" s="9"/>
      <c r="M775" s="9"/>
    </row>
    <row r="776">
      <c r="J776" s="9"/>
      <c r="K776" s="9"/>
      <c r="L776" s="9"/>
      <c r="M776" s="9"/>
    </row>
    <row r="777">
      <c r="J777" s="9"/>
      <c r="K777" s="9"/>
      <c r="L777" s="9"/>
      <c r="M777" s="9"/>
    </row>
    <row r="778">
      <c r="J778" s="9"/>
      <c r="K778" s="9"/>
      <c r="L778" s="9"/>
      <c r="M778" s="9"/>
    </row>
    <row r="779">
      <c r="J779" s="9"/>
      <c r="K779" s="9"/>
      <c r="L779" s="9"/>
      <c r="M779" s="9"/>
    </row>
    <row r="780">
      <c r="J780" s="9"/>
      <c r="K780" s="9"/>
      <c r="L780" s="9"/>
      <c r="M780" s="9"/>
    </row>
    <row r="781">
      <c r="J781" s="9"/>
      <c r="K781" s="9"/>
      <c r="L781" s="9"/>
      <c r="M781" s="9"/>
    </row>
    <row r="782">
      <c r="J782" s="9"/>
      <c r="K782" s="9"/>
      <c r="L782" s="9"/>
      <c r="M782" s="9"/>
    </row>
    <row r="783">
      <c r="J783" s="9"/>
      <c r="K783" s="9"/>
      <c r="L783" s="9"/>
      <c r="M783" s="9"/>
    </row>
    <row r="784">
      <c r="J784" s="9"/>
      <c r="K784" s="9"/>
      <c r="L784" s="9"/>
      <c r="M784" s="9"/>
    </row>
    <row r="785">
      <c r="J785" s="9"/>
      <c r="K785" s="9"/>
      <c r="L785" s="9"/>
      <c r="M785" s="9"/>
    </row>
    <row r="786">
      <c r="J786" s="9"/>
      <c r="K786" s="9"/>
      <c r="L786" s="9"/>
      <c r="M786" s="9"/>
    </row>
    <row r="787">
      <c r="J787" s="9"/>
      <c r="K787" s="9"/>
      <c r="L787" s="9"/>
      <c r="M787" s="9"/>
    </row>
    <row r="788">
      <c r="J788" s="9"/>
      <c r="K788" s="9"/>
      <c r="L788" s="9"/>
      <c r="M788" s="9"/>
    </row>
    <row r="789">
      <c r="J789" s="9"/>
      <c r="K789" s="9"/>
      <c r="L789" s="9"/>
      <c r="M789" s="9"/>
    </row>
    <row r="790">
      <c r="J790" s="9"/>
      <c r="K790" s="9"/>
      <c r="L790" s="9"/>
      <c r="M790" s="9"/>
    </row>
    <row r="791">
      <c r="J791" s="9"/>
      <c r="K791" s="9"/>
      <c r="L791" s="9"/>
      <c r="M791" s="9"/>
    </row>
    <row r="792">
      <c r="J792" s="9"/>
      <c r="K792" s="9"/>
      <c r="L792" s="9"/>
      <c r="M792" s="9"/>
    </row>
    <row r="793">
      <c r="J793" s="9"/>
      <c r="K793" s="9"/>
      <c r="L793" s="9"/>
      <c r="M793" s="9"/>
    </row>
    <row r="794">
      <c r="J794" s="9"/>
      <c r="K794" s="9"/>
      <c r="L794" s="9"/>
      <c r="M794" s="9"/>
    </row>
    <row r="795">
      <c r="J795" s="9"/>
      <c r="K795" s="9"/>
      <c r="L795" s="9"/>
      <c r="M795" s="9"/>
    </row>
    <row r="796">
      <c r="J796" s="9"/>
      <c r="K796" s="9"/>
      <c r="L796" s="9"/>
      <c r="M796" s="9"/>
    </row>
    <row r="797">
      <c r="J797" s="9"/>
      <c r="K797" s="9"/>
      <c r="L797" s="9"/>
      <c r="M797" s="9"/>
    </row>
    <row r="798">
      <c r="J798" s="9"/>
      <c r="K798" s="9"/>
      <c r="L798" s="9"/>
      <c r="M798" s="9"/>
    </row>
    <row r="799">
      <c r="J799" s="9"/>
      <c r="K799" s="9"/>
      <c r="L799" s="9"/>
      <c r="M799" s="9"/>
    </row>
    <row r="800">
      <c r="J800" s="9"/>
      <c r="K800" s="9"/>
      <c r="L800" s="9"/>
      <c r="M800" s="9"/>
    </row>
    <row r="801">
      <c r="J801" s="9"/>
      <c r="K801" s="9"/>
      <c r="L801" s="9"/>
      <c r="M801" s="9"/>
    </row>
    <row r="802">
      <c r="J802" s="9"/>
      <c r="K802" s="9"/>
      <c r="L802" s="9"/>
      <c r="M802" s="9"/>
    </row>
    <row r="803">
      <c r="J803" s="9"/>
      <c r="K803" s="9"/>
      <c r="L803" s="9"/>
      <c r="M803" s="9"/>
    </row>
    <row r="804">
      <c r="J804" s="9"/>
      <c r="K804" s="9"/>
      <c r="L804" s="9"/>
      <c r="M804" s="9"/>
    </row>
    <row r="805">
      <c r="J805" s="9"/>
      <c r="K805" s="9"/>
      <c r="L805" s="9"/>
      <c r="M805" s="9"/>
    </row>
    <row r="806">
      <c r="J806" s="9"/>
      <c r="K806" s="9"/>
      <c r="L806" s="9"/>
      <c r="M806" s="9"/>
    </row>
    <row r="807">
      <c r="J807" s="9"/>
      <c r="K807" s="9"/>
      <c r="L807" s="9"/>
      <c r="M807" s="9"/>
    </row>
    <row r="808">
      <c r="J808" s="9"/>
      <c r="K808" s="9"/>
      <c r="L808" s="9"/>
      <c r="M808" s="9"/>
    </row>
    <row r="809">
      <c r="J809" s="9"/>
      <c r="K809" s="9"/>
      <c r="L809" s="9"/>
      <c r="M809" s="9"/>
    </row>
    <row r="810">
      <c r="J810" s="9"/>
      <c r="K810" s="9"/>
      <c r="L810" s="9"/>
      <c r="M810" s="9"/>
    </row>
    <row r="811">
      <c r="J811" s="9"/>
      <c r="K811" s="9"/>
      <c r="L811" s="9"/>
      <c r="M811" s="9"/>
    </row>
    <row r="812">
      <c r="J812" s="9"/>
      <c r="K812" s="9"/>
      <c r="L812" s="9"/>
      <c r="M812" s="9"/>
    </row>
    <row r="813">
      <c r="J813" s="9"/>
      <c r="K813" s="9"/>
      <c r="L813" s="9"/>
      <c r="M813" s="9"/>
    </row>
    <row r="814">
      <c r="J814" s="9"/>
      <c r="K814" s="9"/>
      <c r="L814" s="9"/>
      <c r="M814" s="9"/>
    </row>
    <row r="815">
      <c r="J815" s="9"/>
      <c r="K815" s="9"/>
      <c r="L815" s="9"/>
      <c r="M815" s="9"/>
    </row>
    <row r="816">
      <c r="J816" s="9"/>
      <c r="K816" s="9"/>
      <c r="L816" s="9"/>
      <c r="M816" s="9"/>
    </row>
    <row r="817">
      <c r="J817" s="9"/>
      <c r="K817" s="9"/>
      <c r="L817" s="9"/>
      <c r="M817" s="9"/>
    </row>
    <row r="818">
      <c r="J818" s="9"/>
      <c r="K818" s="9"/>
      <c r="L818" s="9"/>
      <c r="M818" s="9"/>
    </row>
    <row r="819">
      <c r="J819" s="9"/>
      <c r="K819" s="9"/>
      <c r="L819" s="9"/>
      <c r="M819" s="9"/>
    </row>
    <row r="820">
      <c r="J820" s="9"/>
      <c r="K820" s="9"/>
      <c r="L820" s="9"/>
      <c r="M820" s="9"/>
    </row>
    <row r="821">
      <c r="J821" s="9"/>
      <c r="K821" s="9"/>
      <c r="L821" s="9"/>
      <c r="M821" s="9"/>
    </row>
    <row r="822">
      <c r="J822" s="9"/>
      <c r="K822" s="9"/>
      <c r="L822" s="9"/>
      <c r="M822" s="9"/>
    </row>
    <row r="823">
      <c r="J823" s="9"/>
      <c r="K823" s="9"/>
      <c r="L823" s="9"/>
      <c r="M823" s="9"/>
    </row>
    <row r="824">
      <c r="J824" s="9"/>
      <c r="K824" s="9"/>
      <c r="L824" s="9"/>
      <c r="M824" s="9"/>
    </row>
    <row r="825">
      <c r="J825" s="9"/>
      <c r="K825" s="9"/>
      <c r="L825" s="9"/>
      <c r="M825" s="9"/>
    </row>
    <row r="826">
      <c r="J826" s="9"/>
      <c r="K826" s="9"/>
      <c r="L826" s="9"/>
      <c r="M826" s="9"/>
    </row>
    <row r="827">
      <c r="J827" s="9"/>
      <c r="K827" s="9"/>
      <c r="L827" s="9"/>
      <c r="M827" s="9"/>
    </row>
    <row r="828">
      <c r="J828" s="9"/>
      <c r="K828" s="9"/>
      <c r="L828" s="9"/>
      <c r="M828" s="9"/>
    </row>
    <row r="829">
      <c r="J829" s="9"/>
      <c r="K829" s="9"/>
      <c r="L829" s="9"/>
      <c r="M829" s="9"/>
    </row>
    <row r="830">
      <c r="J830" s="9"/>
      <c r="K830" s="9"/>
      <c r="L830" s="9"/>
      <c r="M830" s="9"/>
    </row>
    <row r="831">
      <c r="J831" s="9"/>
      <c r="K831" s="9"/>
      <c r="L831" s="9"/>
      <c r="M831" s="9"/>
    </row>
    <row r="832">
      <c r="J832" s="9"/>
      <c r="K832" s="9"/>
      <c r="L832" s="9"/>
      <c r="M832" s="9"/>
    </row>
    <row r="833">
      <c r="J833" s="9"/>
      <c r="K833" s="9"/>
      <c r="L833" s="9"/>
      <c r="M833" s="9"/>
    </row>
    <row r="834">
      <c r="J834" s="9"/>
      <c r="K834" s="9"/>
      <c r="L834" s="9"/>
      <c r="M834" s="9"/>
    </row>
    <row r="835">
      <c r="J835" s="9"/>
      <c r="K835" s="9"/>
      <c r="L835" s="9"/>
      <c r="M835" s="9"/>
    </row>
    <row r="836">
      <c r="J836" s="9"/>
      <c r="K836" s="9"/>
      <c r="L836" s="9"/>
      <c r="M836" s="9"/>
    </row>
    <row r="837">
      <c r="J837" s="9"/>
      <c r="K837" s="9"/>
      <c r="L837" s="9"/>
      <c r="M837" s="9"/>
    </row>
    <row r="838">
      <c r="J838" s="9"/>
      <c r="K838" s="9"/>
      <c r="L838" s="9"/>
      <c r="M838" s="9"/>
    </row>
    <row r="839">
      <c r="J839" s="9"/>
      <c r="K839" s="9"/>
      <c r="L839" s="9"/>
      <c r="M839" s="9"/>
    </row>
    <row r="840">
      <c r="J840" s="9"/>
      <c r="K840" s="9"/>
      <c r="L840" s="9"/>
      <c r="M840" s="9"/>
    </row>
    <row r="841">
      <c r="J841" s="9"/>
      <c r="K841" s="9"/>
      <c r="L841" s="9"/>
      <c r="M841" s="9"/>
    </row>
    <row r="842">
      <c r="J842" s="9"/>
      <c r="K842" s="9"/>
      <c r="L842" s="9"/>
      <c r="M842" s="9"/>
    </row>
    <row r="843">
      <c r="J843" s="9"/>
      <c r="K843" s="9"/>
      <c r="L843" s="9"/>
      <c r="M843" s="9"/>
    </row>
    <row r="844">
      <c r="J844" s="9"/>
      <c r="K844" s="9"/>
      <c r="L844" s="9"/>
      <c r="M844" s="9"/>
    </row>
    <row r="845">
      <c r="J845" s="9"/>
      <c r="K845" s="9"/>
      <c r="L845" s="9"/>
      <c r="M845" s="9"/>
    </row>
    <row r="846">
      <c r="J846" s="9"/>
      <c r="K846" s="9"/>
      <c r="L846" s="9"/>
      <c r="M846" s="9"/>
    </row>
    <row r="847">
      <c r="J847" s="9"/>
      <c r="K847" s="9"/>
      <c r="L847" s="9"/>
      <c r="M847" s="9"/>
    </row>
    <row r="848">
      <c r="J848" s="9"/>
      <c r="K848" s="9"/>
      <c r="L848" s="9"/>
      <c r="M848" s="9"/>
    </row>
    <row r="849">
      <c r="J849" s="9"/>
      <c r="K849" s="9"/>
      <c r="L849" s="9"/>
      <c r="M849" s="9"/>
    </row>
    <row r="850">
      <c r="J850" s="9"/>
      <c r="K850" s="9"/>
      <c r="L850" s="9"/>
      <c r="M850" s="9"/>
    </row>
    <row r="851">
      <c r="J851" s="9"/>
      <c r="K851" s="9"/>
      <c r="L851" s="9"/>
      <c r="M851" s="9"/>
    </row>
    <row r="852">
      <c r="J852" s="9"/>
      <c r="K852" s="9"/>
      <c r="L852" s="9"/>
      <c r="M852" s="9"/>
    </row>
    <row r="853">
      <c r="J853" s="9"/>
      <c r="K853" s="9"/>
      <c r="L853" s="9"/>
      <c r="M853" s="9"/>
    </row>
    <row r="854">
      <c r="J854" s="9"/>
      <c r="K854" s="9"/>
      <c r="L854" s="9"/>
      <c r="M854" s="9"/>
    </row>
    <row r="855">
      <c r="J855" s="9"/>
      <c r="K855" s="9"/>
      <c r="L855" s="9"/>
      <c r="M855" s="9"/>
    </row>
    <row r="856">
      <c r="J856" s="9"/>
      <c r="K856" s="9"/>
      <c r="L856" s="9"/>
      <c r="M856" s="9"/>
    </row>
    <row r="857">
      <c r="J857" s="9"/>
      <c r="K857" s="9"/>
      <c r="L857" s="9"/>
      <c r="M857" s="9"/>
    </row>
    <row r="858">
      <c r="J858" s="9"/>
      <c r="K858" s="9"/>
      <c r="L858" s="9"/>
      <c r="M858" s="9"/>
    </row>
    <row r="859">
      <c r="J859" s="9"/>
      <c r="K859" s="9"/>
      <c r="L859" s="9"/>
      <c r="M859" s="9"/>
    </row>
    <row r="860">
      <c r="J860" s="9"/>
      <c r="K860" s="9"/>
      <c r="L860" s="9"/>
      <c r="M860" s="9"/>
    </row>
    <row r="861">
      <c r="J861" s="9"/>
      <c r="K861" s="9"/>
      <c r="L861" s="9"/>
      <c r="M861" s="9"/>
    </row>
    <row r="862">
      <c r="J862" s="9"/>
      <c r="K862" s="9"/>
      <c r="L862" s="9"/>
      <c r="M862" s="9"/>
    </row>
    <row r="863">
      <c r="J863" s="9"/>
      <c r="K863" s="9"/>
      <c r="L863" s="9"/>
      <c r="M863" s="9"/>
    </row>
    <row r="864">
      <c r="J864" s="9"/>
      <c r="K864" s="9"/>
      <c r="L864" s="9"/>
      <c r="M864" s="9"/>
    </row>
    <row r="865">
      <c r="J865" s="9"/>
      <c r="K865" s="9"/>
      <c r="L865" s="9"/>
      <c r="M865" s="9"/>
    </row>
    <row r="866">
      <c r="J866" s="9"/>
      <c r="K866" s="9"/>
      <c r="L866" s="9"/>
      <c r="M866" s="9"/>
    </row>
    <row r="867">
      <c r="J867" s="9"/>
      <c r="K867" s="9"/>
      <c r="L867" s="9"/>
      <c r="M867" s="9"/>
    </row>
    <row r="868">
      <c r="J868" s="9"/>
      <c r="K868" s="9"/>
      <c r="L868" s="9"/>
      <c r="M868" s="9"/>
    </row>
    <row r="869">
      <c r="J869" s="9"/>
      <c r="K869" s="9"/>
      <c r="L869" s="9"/>
      <c r="M869" s="9"/>
    </row>
    <row r="870">
      <c r="J870" s="9"/>
      <c r="K870" s="9"/>
      <c r="L870" s="9"/>
      <c r="M870" s="9"/>
    </row>
    <row r="871">
      <c r="J871" s="9"/>
      <c r="K871" s="9"/>
      <c r="L871" s="9"/>
      <c r="M871" s="9"/>
    </row>
    <row r="872">
      <c r="J872" s="9"/>
      <c r="K872" s="9"/>
      <c r="L872" s="9"/>
      <c r="M872" s="9"/>
    </row>
    <row r="873">
      <c r="J873" s="9"/>
      <c r="K873" s="9"/>
      <c r="L873" s="9"/>
      <c r="M873" s="9"/>
    </row>
    <row r="874">
      <c r="J874" s="9"/>
      <c r="K874" s="9"/>
      <c r="L874" s="9"/>
      <c r="M874" s="9"/>
    </row>
    <row r="875">
      <c r="J875" s="9"/>
      <c r="K875" s="9"/>
      <c r="L875" s="9"/>
      <c r="M875" s="9"/>
    </row>
    <row r="876">
      <c r="J876" s="9"/>
      <c r="K876" s="9"/>
      <c r="L876" s="9"/>
      <c r="M876" s="9"/>
    </row>
    <row r="877">
      <c r="J877" s="9"/>
      <c r="K877" s="9"/>
      <c r="L877" s="9"/>
      <c r="M877" s="9"/>
    </row>
    <row r="878">
      <c r="J878" s="9"/>
      <c r="K878" s="9"/>
      <c r="L878" s="9"/>
      <c r="M878" s="9"/>
    </row>
    <row r="879">
      <c r="J879" s="9"/>
      <c r="K879" s="9"/>
      <c r="L879" s="9"/>
      <c r="M879" s="9"/>
    </row>
    <row r="880">
      <c r="J880" s="9"/>
      <c r="K880" s="9"/>
      <c r="L880" s="9"/>
      <c r="M880" s="9"/>
    </row>
    <row r="881">
      <c r="J881" s="9"/>
      <c r="K881" s="9"/>
      <c r="L881" s="9"/>
      <c r="M881" s="9"/>
    </row>
    <row r="882">
      <c r="J882" s="9"/>
      <c r="K882" s="9"/>
      <c r="L882" s="9"/>
      <c r="M882" s="9"/>
    </row>
    <row r="883">
      <c r="J883" s="9"/>
      <c r="K883" s="9"/>
      <c r="L883" s="9"/>
      <c r="M883" s="9"/>
    </row>
    <row r="884">
      <c r="J884" s="9"/>
      <c r="K884" s="9"/>
      <c r="L884" s="9"/>
      <c r="M884" s="9"/>
    </row>
    <row r="885">
      <c r="J885" s="9"/>
      <c r="K885" s="9"/>
      <c r="L885" s="9"/>
      <c r="M885" s="9"/>
    </row>
    <row r="886">
      <c r="J886" s="9"/>
      <c r="K886" s="9"/>
      <c r="L886" s="9"/>
      <c r="M886" s="9"/>
    </row>
    <row r="887">
      <c r="J887" s="9"/>
      <c r="K887" s="9"/>
      <c r="L887" s="9"/>
      <c r="M887" s="9"/>
    </row>
    <row r="888">
      <c r="J888" s="9"/>
      <c r="K888" s="9"/>
      <c r="L888" s="9"/>
      <c r="M888" s="9"/>
    </row>
    <row r="889">
      <c r="J889" s="9"/>
      <c r="K889" s="9"/>
      <c r="L889" s="9"/>
      <c r="M889" s="9"/>
    </row>
    <row r="890">
      <c r="J890" s="9"/>
      <c r="K890" s="9"/>
      <c r="L890" s="9"/>
      <c r="M890" s="9"/>
    </row>
    <row r="891">
      <c r="J891" s="9"/>
      <c r="K891" s="9"/>
      <c r="L891" s="9"/>
      <c r="M891" s="9"/>
    </row>
    <row r="892">
      <c r="J892" s="9"/>
      <c r="K892" s="9"/>
      <c r="L892" s="9"/>
      <c r="M892" s="9"/>
    </row>
    <row r="893">
      <c r="J893" s="9"/>
      <c r="K893" s="9"/>
      <c r="L893" s="9"/>
      <c r="M893" s="9"/>
    </row>
    <row r="894">
      <c r="J894" s="9"/>
      <c r="K894" s="9"/>
      <c r="L894" s="9"/>
      <c r="M894" s="9"/>
    </row>
    <row r="895">
      <c r="J895" s="9"/>
      <c r="K895" s="9"/>
      <c r="L895" s="9"/>
      <c r="M895" s="9"/>
    </row>
    <row r="896">
      <c r="J896" s="9"/>
      <c r="K896" s="9"/>
      <c r="L896" s="9"/>
      <c r="M896" s="9"/>
    </row>
    <row r="897">
      <c r="J897" s="9"/>
      <c r="K897" s="9"/>
      <c r="L897" s="9"/>
      <c r="M897" s="9"/>
    </row>
    <row r="898">
      <c r="J898" s="9"/>
      <c r="K898" s="9"/>
      <c r="L898" s="9"/>
      <c r="M898" s="9"/>
    </row>
    <row r="899">
      <c r="J899" s="9"/>
      <c r="K899" s="9"/>
      <c r="L899" s="9"/>
      <c r="M899" s="9"/>
    </row>
    <row r="900">
      <c r="J900" s="9"/>
      <c r="K900" s="9"/>
      <c r="L900" s="9"/>
      <c r="M900" s="9"/>
    </row>
    <row r="901">
      <c r="J901" s="9"/>
      <c r="K901" s="9"/>
      <c r="L901" s="9"/>
      <c r="M901" s="9"/>
    </row>
    <row r="902">
      <c r="J902" s="9"/>
      <c r="K902" s="9"/>
      <c r="L902" s="9"/>
      <c r="M902" s="9"/>
    </row>
    <row r="903">
      <c r="J903" s="9"/>
      <c r="K903" s="9"/>
      <c r="L903" s="9"/>
      <c r="M903" s="9"/>
    </row>
    <row r="904">
      <c r="J904" s="9"/>
      <c r="K904" s="9"/>
      <c r="L904" s="9"/>
      <c r="M904" s="9"/>
    </row>
    <row r="905">
      <c r="J905" s="9"/>
      <c r="K905" s="9"/>
      <c r="L905" s="9"/>
      <c r="M905" s="9"/>
    </row>
    <row r="906">
      <c r="J906" s="9"/>
      <c r="K906" s="9"/>
      <c r="L906" s="9"/>
      <c r="M906" s="9"/>
    </row>
    <row r="907">
      <c r="J907" s="9"/>
      <c r="K907" s="9"/>
      <c r="L907" s="9"/>
      <c r="M907" s="9"/>
    </row>
    <row r="908">
      <c r="J908" s="9"/>
      <c r="K908" s="9"/>
      <c r="L908" s="9"/>
      <c r="M908" s="9"/>
    </row>
    <row r="909">
      <c r="J909" s="9"/>
      <c r="K909" s="9"/>
      <c r="L909" s="9"/>
      <c r="M909" s="9"/>
    </row>
    <row r="910">
      <c r="J910" s="9"/>
      <c r="K910" s="9"/>
      <c r="L910" s="9"/>
      <c r="M910" s="9"/>
    </row>
    <row r="911">
      <c r="J911" s="9"/>
      <c r="K911" s="9"/>
      <c r="L911" s="9"/>
      <c r="M911" s="9"/>
    </row>
    <row r="912">
      <c r="J912" s="9"/>
      <c r="K912" s="9"/>
      <c r="L912" s="9"/>
      <c r="M912" s="9"/>
    </row>
    <row r="913">
      <c r="J913" s="9"/>
      <c r="K913" s="9"/>
      <c r="L913" s="9"/>
      <c r="M913" s="9"/>
    </row>
    <row r="914">
      <c r="J914" s="9"/>
      <c r="K914" s="9"/>
      <c r="L914" s="9"/>
      <c r="M914" s="9"/>
    </row>
    <row r="915">
      <c r="J915" s="9"/>
      <c r="K915" s="9"/>
      <c r="L915" s="9"/>
      <c r="M915" s="9"/>
    </row>
    <row r="916">
      <c r="J916" s="9"/>
      <c r="K916" s="9"/>
      <c r="L916" s="9"/>
      <c r="M916" s="9"/>
    </row>
    <row r="917">
      <c r="J917" s="9"/>
      <c r="K917" s="9"/>
      <c r="L917" s="9"/>
      <c r="M917" s="9"/>
    </row>
    <row r="918">
      <c r="J918" s="9"/>
      <c r="K918" s="9"/>
      <c r="L918" s="9"/>
      <c r="M918" s="9"/>
    </row>
    <row r="919">
      <c r="J919" s="9"/>
      <c r="K919" s="9"/>
      <c r="L919" s="9"/>
      <c r="M919" s="9"/>
    </row>
    <row r="920">
      <c r="J920" s="9"/>
      <c r="K920" s="9"/>
      <c r="L920" s="9"/>
      <c r="M920" s="9"/>
    </row>
    <row r="921">
      <c r="J921" s="9"/>
      <c r="K921" s="9"/>
      <c r="L921" s="9"/>
      <c r="M921" s="9"/>
    </row>
    <row r="922">
      <c r="J922" s="9"/>
      <c r="K922" s="9"/>
      <c r="L922" s="9"/>
      <c r="M922" s="9"/>
    </row>
    <row r="923">
      <c r="J923" s="9"/>
      <c r="K923" s="9"/>
      <c r="L923" s="9"/>
      <c r="M923" s="9"/>
    </row>
    <row r="924">
      <c r="J924" s="9"/>
      <c r="K924" s="9"/>
      <c r="L924" s="9"/>
      <c r="M924" s="9"/>
    </row>
    <row r="925">
      <c r="J925" s="9"/>
      <c r="K925" s="9"/>
      <c r="L925" s="9"/>
      <c r="M925" s="9"/>
    </row>
    <row r="926">
      <c r="J926" s="9"/>
      <c r="K926" s="9"/>
      <c r="L926" s="9"/>
      <c r="M926" s="9"/>
    </row>
    <row r="927">
      <c r="J927" s="9"/>
      <c r="K927" s="9"/>
      <c r="L927" s="9"/>
      <c r="M927" s="9"/>
    </row>
    <row r="928">
      <c r="J928" s="9"/>
      <c r="K928" s="9"/>
      <c r="L928" s="9"/>
      <c r="M928" s="9"/>
    </row>
    <row r="929">
      <c r="J929" s="9"/>
      <c r="K929" s="9"/>
      <c r="L929" s="9"/>
      <c r="M929" s="9"/>
    </row>
    <row r="930">
      <c r="J930" s="9"/>
      <c r="K930" s="9"/>
      <c r="L930" s="9"/>
      <c r="M930" s="9"/>
    </row>
    <row r="931">
      <c r="J931" s="9"/>
      <c r="K931" s="9"/>
      <c r="L931" s="9"/>
      <c r="M931" s="9"/>
    </row>
    <row r="932">
      <c r="J932" s="9"/>
      <c r="K932" s="9"/>
      <c r="L932" s="9"/>
      <c r="M932" s="9"/>
    </row>
    <row r="933">
      <c r="J933" s="9"/>
      <c r="K933" s="9"/>
      <c r="L933" s="9"/>
      <c r="M933" s="9"/>
    </row>
    <row r="934">
      <c r="J934" s="9"/>
      <c r="K934" s="9"/>
      <c r="L934" s="9"/>
      <c r="M934" s="9"/>
    </row>
    <row r="935">
      <c r="J935" s="9"/>
      <c r="K935" s="9"/>
      <c r="L935" s="9"/>
      <c r="M935" s="9"/>
    </row>
    <row r="936">
      <c r="J936" s="9"/>
      <c r="K936" s="9"/>
      <c r="L936" s="9"/>
      <c r="M936" s="9"/>
    </row>
    <row r="937">
      <c r="J937" s="9"/>
      <c r="K937" s="9"/>
      <c r="L937" s="9"/>
      <c r="M937" s="9"/>
    </row>
    <row r="938">
      <c r="J938" s="9"/>
      <c r="K938" s="9"/>
      <c r="L938" s="9"/>
      <c r="M938" s="9"/>
    </row>
    <row r="939">
      <c r="J939" s="9"/>
      <c r="K939" s="9"/>
      <c r="L939" s="9"/>
      <c r="M939" s="9"/>
    </row>
    <row r="940">
      <c r="J940" s="9"/>
      <c r="K940" s="9"/>
      <c r="L940" s="9"/>
      <c r="M940" s="9"/>
    </row>
    <row r="941">
      <c r="J941" s="9"/>
      <c r="K941" s="9"/>
      <c r="L941" s="9"/>
      <c r="M941" s="9"/>
    </row>
    <row r="942">
      <c r="J942" s="9"/>
      <c r="K942" s="9"/>
      <c r="L942" s="9"/>
      <c r="M942" s="9"/>
    </row>
    <row r="943">
      <c r="J943" s="9"/>
      <c r="K943" s="9"/>
      <c r="L943" s="9"/>
      <c r="M943" s="9"/>
    </row>
    <row r="944">
      <c r="J944" s="9"/>
      <c r="K944" s="9"/>
      <c r="L944" s="9"/>
      <c r="M944" s="9"/>
    </row>
    <row r="945">
      <c r="J945" s="9"/>
      <c r="K945" s="9"/>
      <c r="L945" s="9"/>
      <c r="M945" s="9"/>
    </row>
    <row r="946">
      <c r="J946" s="9"/>
      <c r="K946" s="9"/>
      <c r="L946" s="9"/>
      <c r="M946" s="9"/>
    </row>
    <row r="947">
      <c r="J947" s="9"/>
      <c r="K947" s="9"/>
      <c r="L947" s="9"/>
      <c r="M947" s="9"/>
    </row>
    <row r="948">
      <c r="J948" s="9"/>
      <c r="K948" s="9"/>
      <c r="L948" s="9"/>
      <c r="M948" s="9"/>
    </row>
    <row r="949">
      <c r="J949" s="9"/>
      <c r="K949" s="9"/>
      <c r="L949" s="9"/>
      <c r="M949" s="9"/>
    </row>
    <row r="950">
      <c r="J950" s="9"/>
      <c r="K950" s="9"/>
      <c r="L950" s="9"/>
      <c r="M950" s="9"/>
    </row>
    <row r="951">
      <c r="J951" s="9"/>
      <c r="K951" s="9"/>
      <c r="L951" s="9"/>
      <c r="M951" s="9"/>
    </row>
    <row r="952">
      <c r="J952" s="9"/>
      <c r="K952" s="9"/>
      <c r="L952" s="9"/>
      <c r="M952" s="9"/>
    </row>
    <row r="953">
      <c r="J953" s="9"/>
      <c r="K953" s="9"/>
      <c r="L953" s="9"/>
      <c r="M953" s="9"/>
    </row>
    <row r="954">
      <c r="J954" s="9"/>
      <c r="K954" s="9"/>
      <c r="L954" s="9"/>
      <c r="M954" s="9"/>
    </row>
    <row r="955">
      <c r="J955" s="9"/>
      <c r="K955" s="9"/>
      <c r="L955" s="9"/>
      <c r="M955" s="9"/>
    </row>
    <row r="956">
      <c r="J956" s="9"/>
      <c r="K956" s="9"/>
      <c r="L956" s="9"/>
      <c r="M956" s="9"/>
    </row>
    <row r="957">
      <c r="J957" s="9"/>
      <c r="K957" s="9"/>
      <c r="L957" s="9"/>
      <c r="M957" s="9"/>
    </row>
    <row r="958">
      <c r="J958" s="9"/>
      <c r="K958" s="9"/>
      <c r="L958" s="9"/>
      <c r="M958" s="9"/>
    </row>
    <row r="959">
      <c r="J959" s="9"/>
      <c r="K959" s="9"/>
      <c r="L959" s="9"/>
      <c r="M959" s="9"/>
    </row>
    <row r="960">
      <c r="J960" s="9"/>
      <c r="K960" s="9"/>
      <c r="L960" s="9"/>
      <c r="M960" s="9"/>
    </row>
    <row r="961">
      <c r="J961" s="9"/>
      <c r="K961" s="9"/>
      <c r="L961" s="9"/>
      <c r="M961" s="9"/>
    </row>
    <row r="962">
      <c r="J962" s="9"/>
      <c r="K962" s="9"/>
      <c r="L962" s="9"/>
      <c r="M962" s="9"/>
    </row>
    <row r="963">
      <c r="J963" s="9"/>
      <c r="K963" s="9"/>
      <c r="L963" s="9"/>
      <c r="M963" s="9"/>
    </row>
    <row r="964">
      <c r="J964" s="9"/>
      <c r="K964" s="9"/>
      <c r="L964" s="9"/>
      <c r="M964" s="9"/>
    </row>
    <row r="965">
      <c r="J965" s="9"/>
      <c r="K965" s="9"/>
      <c r="L965" s="9"/>
      <c r="M965" s="9"/>
    </row>
    <row r="966">
      <c r="J966" s="9"/>
      <c r="K966" s="9"/>
      <c r="L966" s="9"/>
      <c r="M966" s="9"/>
    </row>
    <row r="967">
      <c r="J967" s="9"/>
      <c r="K967" s="9"/>
      <c r="L967" s="9"/>
      <c r="M967" s="9"/>
    </row>
    <row r="968">
      <c r="J968" s="9"/>
      <c r="K968" s="9"/>
      <c r="L968" s="9"/>
      <c r="M968" s="9"/>
    </row>
    <row r="969">
      <c r="J969" s="9"/>
      <c r="K969" s="9"/>
      <c r="L969" s="9"/>
      <c r="M969" s="9"/>
    </row>
    <row r="970">
      <c r="J970" s="9"/>
      <c r="K970" s="9"/>
      <c r="L970" s="9"/>
      <c r="M970" s="9"/>
    </row>
    <row r="971">
      <c r="J971" s="9"/>
      <c r="K971" s="9"/>
      <c r="L971" s="9"/>
      <c r="M971" s="9"/>
    </row>
    <row r="972">
      <c r="J972" s="9"/>
      <c r="K972" s="9"/>
      <c r="L972" s="9"/>
      <c r="M972" s="9"/>
    </row>
    <row r="973">
      <c r="J973" s="9"/>
      <c r="K973" s="9"/>
      <c r="L973" s="9"/>
      <c r="M973" s="9"/>
    </row>
    <row r="974">
      <c r="J974" s="9"/>
      <c r="K974" s="9"/>
      <c r="L974" s="9"/>
      <c r="M974" s="9"/>
    </row>
    <row r="975">
      <c r="J975" s="9"/>
      <c r="K975" s="9"/>
      <c r="L975" s="9"/>
      <c r="M975" s="9"/>
    </row>
    <row r="976">
      <c r="J976" s="9"/>
      <c r="K976" s="9"/>
      <c r="L976" s="9"/>
      <c r="M976" s="9"/>
    </row>
    <row r="977">
      <c r="J977" s="9"/>
      <c r="K977" s="9"/>
      <c r="L977" s="9"/>
      <c r="M977" s="9"/>
    </row>
    <row r="978">
      <c r="J978" s="9"/>
      <c r="K978" s="9"/>
      <c r="L978" s="9"/>
      <c r="M978" s="9"/>
    </row>
    <row r="979">
      <c r="J979" s="9"/>
      <c r="K979" s="9"/>
      <c r="L979" s="9"/>
      <c r="M979" s="9"/>
    </row>
    <row r="980">
      <c r="J980" s="9"/>
      <c r="K980" s="9"/>
      <c r="L980" s="9"/>
      <c r="M980" s="9"/>
    </row>
    <row r="981">
      <c r="J981" s="9"/>
      <c r="K981" s="9"/>
      <c r="L981" s="9"/>
      <c r="M981" s="9"/>
    </row>
    <row r="982">
      <c r="J982" s="9"/>
      <c r="K982" s="9"/>
      <c r="L982" s="9"/>
      <c r="M982" s="9"/>
    </row>
    <row r="983">
      <c r="J983" s="9"/>
      <c r="K983" s="9"/>
      <c r="L983" s="9"/>
      <c r="M983" s="9"/>
    </row>
    <row r="984">
      <c r="J984" s="9"/>
      <c r="K984" s="9"/>
      <c r="L984" s="9"/>
      <c r="M984" s="9"/>
    </row>
    <row r="985">
      <c r="J985" s="9"/>
      <c r="K985" s="9"/>
      <c r="L985" s="9"/>
      <c r="M985" s="9"/>
    </row>
    <row r="986">
      <c r="J986" s="9"/>
      <c r="K986" s="9"/>
      <c r="L986" s="9"/>
      <c r="M986" s="9"/>
    </row>
    <row r="987">
      <c r="J987" s="9"/>
      <c r="K987" s="9"/>
      <c r="L987" s="9"/>
      <c r="M987" s="9"/>
    </row>
    <row r="988">
      <c r="J988" s="9"/>
      <c r="K988" s="9"/>
      <c r="L988" s="9"/>
      <c r="M988" s="9"/>
    </row>
    <row r="989">
      <c r="J989" s="9"/>
      <c r="K989" s="9"/>
      <c r="L989" s="9"/>
      <c r="M989" s="9"/>
    </row>
    <row r="990">
      <c r="J990" s="9"/>
      <c r="K990" s="9"/>
      <c r="L990" s="9"/>
      <c r="M990" s="9"/>
    </row>
    <row r="991">
      <c r="J991" s="9"/>
      <c r="K991" s="9"/>
      <c r="L991" s="9"/>
      <c r="M991" s="9"/>
    </row>
    <row r="992">
      <c r="J992" s="9"/>
      <c r="K992" s="9"/>
      <c r="L992" s="9"/>
      <c r="M992" s="9"/>
    </row>
    <row r="993">
      <c r="J993" s="9"/>
      <c r="K993" s="9"/>
      <c r="L993" s="9"/>
      <c r="M993" s="9"/>
    </row>
    <row r="994">
      <c r="J994" s="9"/>
      <c r="K994" s="9"/>
      <c r="L994" s="9"/>
      <c r="M994" s="9"/>
    </row>
    <row r="995">
      <c r="J995" s="9"/>
      <c r="K995" s="9"/>
      <c r="L995" s="9"/>
      <c r="M995" s="9"/>
    </row>
    <row r="996">
      <c r="J996" s="9"/>
      <c r="K996" s="9"/>
      <c r="L996" s="9"/>
      <c r="M996" s="9"/>
    </row>
    <row r="997">
      <c r="J997" s="9"/>
      <c r="K997" s="9"/>
      <c r="L997" s="9"/>
      <c r="M997" s="9"/>
    </row>
    <row r="998">
      <c r="J998" s="9"/>
      <c r="K998" s="9"/>
      <c r="L998" s="9"/>
      <c r="M998" s="9"/>
    </row>
    <row r="999">
      <c r="J999" s="9"/>
      <c r="K999" s="9"/>
      <c r="L999" s="9"/>
      <c r="M999" s="9"/>
    </row>
    <row r="1000">
      <c r="J1000" s="9"/>
      <c r="K1000" s="9"/>
      <c r="L1000" s="9"/>
      <c r="M1000" s="9"/>
    </row>
    <row r="1001">
      <c r="J1001" s="9"/>
      <c r="K1001" s="9"/>
      <c r="L1001" s="9"/>
      <c r="M1001" s="9"/>
    </row>
    <row r="1002">
      <c r="J1002" s="9"/>
      <c r="K1002" s="9"/>
      <c r="L1002" s="9"/>
      <c r="M1002" s="9"/>
    </row>
    <row r="1003">
      <c r="J1003" s="9"/>
      <c r="K1003" s="9"/>
      <c r="L1003" s="9"/>
      <c r="M1003" s="9"/>
    </row>
    <row r="1004">
      <c r="J1004" s="9"/>
      <c r="K1004" s="9"/>
      <c r="L1004" s="9"/>
      <c r="M1004" s="9"/>
    </row>
    <row r="1005">
      <c r="J1005" s="9"/>
      <c r="K1005" s="9"/>
      <c r="L1005" s="9"/>
      <c r="M1005" s="9"/>
    </row>
    <row r="1006">
      <c r="J1006" s="9"/>
      <c r="K1006" s="9"/>
      <c r="L1006" s="9"/>
      <c r="M1006" s="9"/>
    </row>
    <row r="1007">
      <c r="J1007" s="9"/>
      <c r="K1007" s="9"/>
      <c r="L1007" s="9"/>
      <c r="M1007" s="9"/>
    </row>
    <row r="1008">
      <c r="J1008" s="9"/>
      <c r="K1008" s="9"/>
      <c r="L1008" s="9"/>
      <c r="M1008" s="9"/>
    </row>
    <row r="1009">
      <c r="J1009" s="9"/>
      <c r="K1009" s="9"/>
      <c r="L1009" s="9"/>
      <c r="M1009" s="9"/>
    </row>
    <row r="1010">
      <c r="J1010" s="9"/>
      <c r="K1010" s="9"/>
      <c r="L1010" s="9"/>
      <c r="M1010" s="9"/>
    </row>
    <row r="1011">
      <c r="J1011" s="9"/>
      <c r="K1011" s="9"/>
      <c r="L1011" s="9"/>
      <c r="M1011" s="9"/>
    </row>
    <row r="1012">
      <c r="J1012" s="9"/>
      <c r="K1012" s="9"/>
      <c r="L1012" s="9"/>
      <c r="M1012" s="9"/>
    </row>
    <row r="1013">
      <c r="J1013" s="9"/>
      <c r="K1013" s="9"/>
      <c r="L1013" s="9"/>
      <c r="M1013" s="9"/>
    </row>
    <row r="1014">
      <c r="J1014" s="9"/>
      <c r="K1014" s="9"/>
      <c r="L1014" s="9"/>
      <c r="M1014" s="9"/>
    </row>
    <row r="1015">
      <c r="J1015" s="9"/>
      <c r="K1015" s="9"/>
      <c r="L1015" s="9"/>
      <c r="M1015" s="9"/>
    </row>
    <row r="1016">
      <c r="J1016" s="9"/>
      <c r="K1016" s="9"/>
      <c r="L1016" s="9"/>
      <c r="M1016" s="9"/>
    </row>
    <row r="1017">
      <c r="J1017" s="9"/>
      <c r="K1017" s="9"/>
      <c r="L1017" s="9"/>
      <c r="M1017" s="9"/>
    </row>
    <row r="1018">
      <c r="J1018" s="9"/>
      <c r="K1018" s="9"/>
      <c r="L1018" s="9"/>
      <c r="M1018" s="9"/>
    </row>
    <row r="1019">
      <c r="J1019" s="9"/>
      <c r="K1019" s="9"/>
      <c r="L1019" s="9"/>
      <c r="M1019" s="9"/>
    </row>
    <row r="1020">
      <c r="J1020" s="9"/>
      <c r="K1020" s="9"/>
      <c r="L1020" s="9"/>
      <c r="M1020" s="9"/>
    </row>
    <row r="1021">
      <c r="J1021" s="9"/>
      <c r="K1021" s="9"/>
      <c r="L1021" s="9"/>
      <c r="M1021" s="9"/>
    </row>
    <row r="1022">
      <c r="J1022" s="9"/>
      <c r="K1022" s="9"/>
      <c r="L1022" s="9"/>
      <c r="M1022" s="9"/>
    </row>
    <row r="1023">
      <c r="J1023" s="9"/>
      <c r="K1023" s="9"/>
      <c r="L1023" s="9"/>
      <c r="M1023" s="9"/>
    </row>
    <row r="1024">
      <c r="J1024" s="9"/>
      <c r="K1024" s="9"/>
      <c r="L1024" s="9"/>
      <c r="M1024" s="9"/>
    </row>
    <row r="1025">
      <c r="J1025" s="9"/>
      <c r="K1025" s="9"/>
      <c r="L1025" s="9"/>
      <c r="M1025" s="9"/>
    </row>
    <row r="1026">
      <c r="J1026" s="9"/>
      <c r="K1026" s="9"/>
      <c r="L1026" s="9"/>
      <c r="M1026" s="9"/>
    </row>
    <row r="1027">
      <c r="J1027" s="9"/>
      <c r="K1027" s="9"/>
      <c r="L1027" s="9"/>
      <c r="M1027" s="9"/>
    </row>
    <row r="1028">
      <c r="J1028" s="9"/>
      <c r="K1028" s="9"/>
      <c r="L1028" s="9"/>
      <c r="M1028" s="9"/>
    </row>
    <row r="1029">
      <c r="J1029" s="9"/>
      <c r="K1029" s="9"/>
      <c r="L1029" s="9"/>
      <c r="M1029" s="9"/>
    </row>
    <row r="1030">
      <c r="J1030" s="9"/>
      <c r="K1030" s="9"/>
      <c r="L1030" s="9"/>
      <c r="M1030" s="9"/>
    </row>
    <row r="1031">
      <c r="J1031" s="9"/>
      <c r="K1031" s="9"/>
      <c r="L1031" s="9"/>
      <c r="M1031" s="9"/>
    </row>
    <row r="1032">
      <c r="J1032" s="9"/>
      <c r="K1032" s="9"/>
      <c r="L1032" s="9"/>
      <c r="M1032" s="9"/>
    </row>
    <row r="1033">
      <c r="J1033" s="9"/>
      <c r="K1033" s="9"/>
      <c r="L1033" s="9"/>
      <c r="M1033" s="9"/>
    </row>
    <row r="1034">
      <c r="J1034" s="9"/>
      <c r="K1034" s="9"/>
      <c r="L1034" s="9"/>
      <c r="M1034" s="9"/>
    </row>
    <row r="1035">
      <c r="J1035" s="9"/>
      <c r="K1035" s="9"/>
      <c r="L1035" s="9"/>
      <c r="M1035" s="9"/>
    </row>
    <row r="1036">
      <c r="J1036" s="9"/>
      <c r="K1036" s="9"/>
      <c r="L1036" s="9"/>
      <c r="M1036" s="9"/>
    </row>
    <row r="1037">
      <c r="J1037" s="9"/>
      <c r="K1037" s="9"/>
      <c r="L1037" s="9"/>
      <c r="M1037" s="9"/>
    </row>
    <row r="1038">
      <c r="J1038" s="9"/>
      <c r="K1038" s="9"/>
      <c r="L1038" s="9"/>
      <c r="M1038" s="9"/>
    </row>
    <row r="1039">
      <c r="J1039" s="9"/>
      <c r="K1039" s="9"/>
      <c r="L1039" s="9"/>
      <c r="M1039" s="9"/>
    </row>
    <row r="1040">
      <c r="J1040" s="9"/>
      <c r="K1040" s="9"/>
      <c r="L1040" s="9"/>
      <c r="M1040" s="9"/>
    </row>
    <row r="1041">
      <c r="J1041" s="9"/>
      <c r="K1041" s="9"/>
      <c r="L1041" s="9"/>
      <c r="M1041" s="9"/>
    </row>
    <row r="1042">
      <c r="J1042" s="9"/>
      <c r="K1042" s="9"/>
      <c r="L1042" s="9"/>
      <c r="M1042" s="9"/>
    </row>
    <row r="1043">
      <c r="J1043" s="9"/>
      <c r="K1043" s="9"/>
      <c r="L1043" s="9"/>
      <c r="M1043" s="9"/>
    </row>
    <row r="1044">
      <c r="J1044" s="9"/>
      <c r="K1044" s="9"/>
      <c r="L1044" s="9"/>
      <c r="M1044" s="9"/>
    </row>
    <row r="1045">
      <c r="J1045" s="9"/>
      <c r="K1045" s="9"/>
      <c r="L1045" s="9"/>
      <c r="M1045" s="9"/>
    </row>
    <row r="1046">
      <c r="J1046" s="9"/>
      <c r="K1046" s="9"/>
      <c r="L1046" s="9"/>
      <c r="M1046" s="9"/>
    </row>
    <row r="1047">
      <c r="J1047" s="9"/>
      <c r="K1047" s="9"/>
      <c r="L1047" s="9"/>
      <c r="M1047" s="9"/>
    </row>
    <row r="1048">
      <c r="J1048" s="9"/>
      <c r="K1048" s="9"/>
      <c r="L1048" s="9"/>
      <c r="M1048" s="9"/>
    </row>
    <row r="1049">
      <c r="J1049" s="9"/>
      <c r="K1049" s="9"/>
      <c r="L1049" s="9"/>
      <c r="M1049" s="9"/>
    </row>
    <row r="1050">
      <c r="J1050" s="9"/>
      <c r="K1050" s="9"/>
      <c r="L1050" s="9"/>
      <c r="M1050" s="9"/>
    </row>
    <row r="1051">
      <c r="J1051" s="9"/>
      <c r="K1051" s="9"/>
      <c r="L1051" s="9"/>
      <c r="M1051" s="9"/>
    </row>
    <row r="1052">
      <c r="J1052" s="9"/>
      <c r="K1052" s="9"/>
      <c r="L1052" s="9"/>
      <c r="M1052" s="9"/>
    </row>
    <row r="1053">
      <c r="J1053" s="9"/>
      <c r="K1053" s="9"/>
      <c r="L1053" s="9"/>
      <c r="M1053" s="9"/>
    </row>
    <row r="1054">
      <c r="J1054" s="9"/>
      <c r="K1054" s="9"/>
      <c r="L1054" s="9"/>
      <c r="M1054" s="9"/>
    </row>
    <row r="1055">
      <c r="J1055" s="9"/>
      <c r="K1055" s="9"/>
      <c r="L1055" s="9"/>
      <c r="M1055" s="9"/>
    </row>
    <row r="1056">
      <c r="J1056" s="9"/>
      <c r="K1056" s="9"/>
      <c r="L1056" s="9"/>
      <c r="M1056" s="9"/>
    </row>
    <row r="1057">
      <c r="J1057" s="9"/>
      <c r="K1057" s="9"/>
      <c r="L1057" s="9"/>
      <c r="M1057" s="9"/>
    </row>
    <row r="1058">
      <c r="J1058" s="9"/>
      <c r="K1058" s="9"/>
      <c r="L1058" s="9"/>
      <c r="M1058" s="9"/>
    </row>
    <row r="1059">
      <c r="J1059" s="9"/>
      <c r="K1059" s="9"/>
      <c r="L1059" s="9"/>
      <c r="M1059" s="9"/>
    </row>
    <row r="1060">
      <c r="J1060" s="9"/>
      <c r="K1060" s="9"/>
      <c r="L1060" s="9"/>
      <c r="M1060" s="9"/>
    </row>
    <row r="1061">
      <c r="J1061" s="9"/>
      <c r="K1061" s="9"/>
      <c r="L1061" s="9"/>
      <c r="M1061" s="9"/>
    </row>
    <row r="1062">
      <c r="J1062" s="9"/>
      <c r="K1062" s="9"/>
      <c r="L1062" s="9"/>
      <c r="M1062" s="9"/>
    </row>
    <row r="1063">
      <c r="J1063" s="9"/>
      <c r="K1063" s="9"/>
      <c r="L1063" s="9"/>
      <c r="M1063" s="9"/>
    </row>
    <row r="1064">
      <c r="J1064" s="9"/>
      <c r="K1064" s="9"/>
      <c r="L1064" s="9"/>
      <c r="M1064" s="9"/>
    </row>
    <row r="1065">
      <c r="J1065" s="9"/>
      <c r="K1065" s="9"/>
      <c r="L1065" s="9"/>
      <c r="M1065" s="9"/>
    </row>
    <row r="1066">
      <c r="J1066" s="9"/>
      <c r="K1066" s="9"/>
      <c r="L1066" s="9"/>
      <c r="M1066" s="9"/>
    </row>
    <row r="1067">
      <c r="J1067" s="9"/>
      <c r="K1067" s="9"/>
      <c r="L1067" s="9"/>
      <c r="M1067" s="9"/>
    </row>
    <row r="1068">
      <c r="J1068" s="9"/>
      <c r="K1068" s="9"/>
      <c r="L1068" s="9"/>
      <c r="M1068" s="9"/>
    </row>
    <row r="1069">
      <c r="J1069" s="9"/>
      <c r="K1069" s="9"/>
      <c r="L1069" s="9"/>
      <c r="M1069" s="9"/>
    </row>
    <row r="1070">
      <c r="J1070" s="9"/>
      <c r="K1070" s="9"/>
      <c r="L1070" s="9"/>
      <c r="M1070" s="9"/>
    </row>
    <row r="1071">
      <c r="J1071" s="9"/>
      <c r="K1071" s="9"/>
      <c r="L1071" s="9"/>
      <c r="M1071" s="9"/>
    </row>
    <row r="1072">
      <c r="J1072" s="9"/>
      <c r="K1072" s="9"/>
      <c r="L1072" s="9"/>
      <c r="M1072" s="9"/>
    </row>
    <row r="1073">
      <c r="J1073" s="9"/>
      <c r="K1073" s="9"/>
      <c r="L1073" s="9"/>
      <c r="M1073" s="9"/>
    </row>
    <row r="1074">
      <c r="J1074" s="9"/>
      <c r="K1074" s="9"/>
      <c r="L1074" s="9"/>
      <c r="M1074" s="9"/>
    </row>
    <row r="1075">
      <c r="J1075" s="9"/>
      <c r="K1075" s="9"/>
      <c r="L1075" s="9"/>
      <c r="M1075" s="9"/>
    </row>
    <row r="1076">
      <c r="J1076" s="9"/>
      <c r="K1076" s="9"/>
      <c r="L1076" s="9"/>
      <c r="M1076" s="9"/>
    </row>
    <row r="1077">
      <c r="J1077" s="9"/>
      <c r="K1077" s="9"/>
      <c r="L1077" s="9"/>
      <c r="M1077" s="9"/>
    </row>
    <row r="1078">
      <c r="J1078" s="9"/>
      <c r="K1078" s="9"/>
      <c r="L1078" s="9"/>
      <c r="M1078" s="9"/>
    </row>
    <row r="1079">
      <c r="J1079" s="9"/>
      <c r="K1079" s="9"/>
      <c r="L1079" s="9"/>
      <c r="M1079" s="9"/>
    </row>
    <row r="1080">
      <c r="J1080" s="9"/>
      <c r="K1080" s="9"/>
      <c r="L1080" s="9"/>
      <c r="M1080" s="9"/>
    </row>
    <row r="1081">
      <c r="J1081" s="9"/>
      <c r="K1081" s="9"/>
      <c r="L1081" s="9"/>
      <c r="M1081" s="9"/>
    </row>
    <row r="1082">
      <c r="J1082" s="9"/>
      <c r="K1082" s="9"/>
      <c r="L1082" s="9"/>
      <c r="M1082" s="9"/>
    </row>
    <row r="1083">
      <c r="J1083" s="9"/>
      <c r="K1083" s="9"/>
      <c r="L1083" s="9"/>
      <c r="M1083" s="9"/>
    </row>
    <row r="1084">
      <c r="J1084" s="9"/>
      <c r="K1084" s="9"/>
      <c r="L1084" s="9"/>
      <c r="M1084" s="9"/>
    </row>
    <row r="1085">
      <c r="J1085" s="9"/>
      <c r="K1085" s="9"/>
      <c r="L1085" s="9"/>
      <c r="M1085" s="9"/>
    </row>
    <row r="1086">
      <c r="J1086" s="9"/>
      <c r="K1086" s="9"/>
      <c r="L1086" s="9"/>
      <c r="M1086" s="9"/>
    </row>
    <row r="1087">
      <c r="J1087" s="9"/>
      <c r="K1087" s="9"/>
      <c r="L1087" s="9"/>
      <c r="M1087" s="9"/>
    </row>
    <row r="1088">
      <c r="J1088" s="9"/>
      <c r="K1088" s="9"/>
      <c r="L1088" s="9"/>
      <c r="M1088" s="9"/>
    </row>
    <row r="1089">
      <c r="J1089" s="9"/>
      <c r="K1089" s="9"/>
      <c r="L1089" s="9"/>
      <c r="M1089" s="9"/>
    </row>
    <row r="1090">
      <c r="J1090" s="9"/>
      <c r="K1090" s="9"/>
      <c r="L1090" s="9"/>
      <c r="M1090" s="9"/>
    </row>
    <row r="1091">
      <c r="J1091" s="9"/>
      <c r="K1091" s="9"/>
      <c r="L1091" s="9"/>
      <c r="M1091" s="9"/>
    </row>
    <row r="1092">
      <c r="J1092" s="9"/>
      <c r="K1092" s="9"/>
      <c r="L1092" s="9"/>
      <c r="M1092" s="9"/>
    </row>
    <row r="1093">
      <c r="J1093" s="9"/>
      <c r="K1093" s="9"/>
      <c r="L1093" s="9"/>
      <c r="M1093" s="9"/>
    </row>
    <row r="1094">
      <c r="J1094" s="9"/>
      <c r="K1094" s="9"/>
      <c r="L1094" s="9"/>
      <c r="M1094" s="9"/>
    </row>
    <row r="1095">
      <c r="J1095" s="9"/>
      <c r="K1095" s="9"/>
      <c r="L1095" s="9"/>
      <c r="M1095" s="9"/>
    </row>
    <row r="1096">
      <c r="J1096" s="9"/>
      <c r="K1096" s="9"/>
      <c r="L1096" s="9"/>
      <c r="M1096" s="9"/>
    </row>
    <row r="1097">
      <c r="J1097" s="9"/>
      <c r="K1097" s="9"/>
      <c r="L1097" s="9"/>
      <c r="M1097" s="9"/>
    </row>
    <row r="1098">
      <c r="J1098" s="9"/>
      <c r="K1098" s="9"/>
      <c r="L1098" s="9"/>
      <c r="M1098" s="9"/>
    </row>
    <row r="1099">
      <c r="J1099" s="9"/>
      <c r="K1099" s="9"/>
      <c r="L1099" s="9"/>
      <c r="M1099" s="9"/>
    </row>
    <row r="1100">
      <c r="J1100" s="9"/>
      <c r="K1100" s="9"/>
      <c r="L1100" s="9"/>
      <c r="M1100" s="9"/>
    </row>
    <row r="1101">
      <c r="J1101" s="9"/>
      <c r="K1101" s="9"/>
      <c r="L1101" s="9"/>
      <c r="M1101" s="9"/>
    </row>
    <row r="1102">
      <c r="J1102" s="9"/>
      <c r="K1102" s="9"/>
      <c r="L1102" s="9"/>
      <c r="M1102" s="9"/>
    </row>
    <row r="1103">
      <c r="J1103" s="9"/>
      <c r="K1103" s="9"/>
      <c r="L1103" s="9"/>
      <c r="M1103" s="9"/>
    </row>
    <row r="1104">
      <c r="J1104" s="9"/>
      <c r="K1104" s="9"/>
      <c r="L1104" s="9"/>
      <c r="M1104" s="9"/>
    </row>
    <row r="1105">
      <c r="J1105" s="9"/>
      <c r="K1105" s="9"/>
      <c r="L1105" s="9"/>
      <c r="M1105" s="9"/>
    </row>
    <row r="1106">
      <c r="J1106" s="9"/>
      <c r="K1106" s="9"/>
      <c r="L1106" s="9"/>
      <c r="M1106" s="9"/>
    </row>
    <row r="1107">
      <c r="J1107" s="9"/>
      <c r="K1107" s="9"/>
      <c r="L1107" s="9"/>
      <c r="M1107" s="9"/>
    </row>
    <row r="1108">
      <c r="J1108" s="9"/>
      <c r="K1108" s="9"/>
      <c r="L1108" s="9"/>
      <c r="M1108" s="9"/>
    </row>
    <row r="1109">
      <c r="J1109" s="9"/>
      <c r="K1109" s="9"/>
      <c r="L1109" s="9"/>
      <c r="M1109" s="9"/>
    </row>
    <row r="1110">
      <c r="J1110" s="9"/>
      <c r="K1110" s="9"/>
      <c r="L1110" s="9"/>
      <c r="M1110" s="9"/>
    </row>
    <row r="1111">
      <c r="J1111" s="9"/>
      <c r="K1111" s="9"/>
      <c r="L1111" s="9"/>
      <c r="M1111" s="9"/>
    </row>
    <row r="1112">
      <c r="J1112" s="9"/>
      <c r="K1112" s="9"/>
      <c r="L1112" s="9"/>
      <c r="M1112" s="9"/>
    </row>
    <row r="1113">
      <c r="J1113" s="9"/>
      <c r="K1113" s="9"/>
      <c r="L1113" s="9"/>
      <c r="M1113" s="9"/>
    </row>
    <row r="1114">
      <c r="J1114" s="9"/>
      <c r="K1114" s="9"/>
      <c r="L1114" s="9"/>
      <c r="M1114" s="9"/>
    </row>
    <row r="1115">
      <c r="J1115" s="9"/>
      <c r="K1115" s="9"/>
      <c r="L1115" s="9"/>
      <c r="M1115" s="9"/>
    </row>
    <row r="1116">
      <c r="J1116" s="9"/>
      <c r="K1116" s="9"/>
      <c r="L1116" s="9"/>
      <c r="M1116" s="9"/>
    </row>
    <row r="1117">
      <c r="J1117" s="9"/>
      <c r="K1117" s="9"/>
      <c r="L1117" s="9"/>
      <c r="M1117" s="9"/>
    </row>
    <row r="1118">
      <c r="J1118" s="9"/>
      <c r="K1118" s="9"/>
      <c r="L1118" s="9"/>
      <c r="M1118" s="9"/>
    </row>
    <row r="1119">
      <c r="J1119" s="9"/>
      <c r="K1119" s="9"/>
      <c r="L1119" s="9"/>
      <c r="M1119" s="9"/>
    </row>
    <row r="1120">
      <c r="J1120" s="9"/>
      <c r="K1120" s="9"/>
      <c r="L1120" s="9"/>
      <c r="M1120" s="9"/>
    </row>
    <row r="1121">
      <c r="J1121" s="9"/>
      <c r="K1121" s="9"/>
      <c r="L1121" s="9"/>
      <c r="M1121" s="9"/>
    </row>
    <row r="1122">
      <c r="J1122" s="9"/>
      <c r="K1122" s="9"/>
      <c r="L1122" s="9"/>
      <c r="M1122" s="9"/>
    </row>
    <row r="1123">
      <c r="J1123" s="9"/>
      <c r="K1123" s="9"/>
      <c r="L1123" s="9"/>
      <c r="M1123" s="9"/>
    </row>
    <row r="1124">
      <c r="J1124" s="9"/>
      <c r="K1124" s="9"/>
      <c r="L1124" s="9"/>
      <c r="M1124" s="9"/>
    </row>
    <row r="1125">
      <c r="J1125" s="9"/>
      <c r="K1125" s="9"/>
      <c r="L1125" s="9"/>
      <c r="M1125" s="9"/>
    </row>
    <row r="1126">
      <c r="J1126" s="9"/>
      <c r="K1126" s="9"/>
      <c r="L1126" s="9"/>
      <c r="M1126" s="9"/>
    </row>
    <row r="1127">
      <c r="J1127" s="9"/>
      <c r="K1127" s="9"/>
      <c r="L1127" s="9"/>
      <c r="M1127" s="9"/>
    </row>
    <row r="1128">
      <c r="J1128" s="9"/>
      <c r="K1128" s="9"/>
      <c r="L1128" s="9"/>
      <c r="M1128" s="9"/>
    </row>
    <row r="1129">
      <c r="J1129" s="9"/>
      <c r="K1129" s="9"/>
      <c r="L1129" s="9"/>
      <c r="M1129" s="9"/>
    </row>
    <row r="1130">
      <c r="J1130" s="9"/>
      <c r="K1130" s="9"/>
      <c r="L1130" s="9"/>
      <c r="M1130" s="9"/>
    </row>
    <row r="1131">
      <c r="J1131" s="9"/>
      <c r="K1131" s="9"/>
      <c r="L1131" s="9"/>
      <c r="M1131" s="9"/>
    </row>
    <row r="1132">
      <c r="J1132" s="9"/>
      <c r="K1132" s="9"/>
      <c r="L1132" s="9"/>
      <c r="M1132" s="9"/>
    </row>
    <row r="1133">
      <c r="J1133" s="9"/>
      <c r="K1133" s="9"/>
      <c r="L1133" s="9"/>
      <c r="M1133" s="9"/>
    </row>
    <row r="1134">
      <c r="J1134" s="9"/>
      <c r="K1134" s="9"/>
      <c r="L1134" s="9"/>
      <c r="M1134" s="9"/>
    </row>
    <row r="1135">
      <c r="J1135" s="9"/>
      <c r="K1135" s="9"/>
      <c r="L1135" s="9"/>
      <c r="M1135" s="9"/>
    </row>
    <row r="1136">
      <c r="J1136" s="9"/>
      <c r="K1136" s="9"/>
      <c r="L1136" s="9"/>
      <c r="M1136" s="9"/>
    </row>
    <row r="1137">
      <c r="J1137" s="9"/>
      <c r="K1137" s="9"/>
      <c r="L1137" s="9"/>
      <c r="M1137" s="9"/>
    </row>
    <row r="1138">
      <c r="J1138" s="9"/>
      <c r="K1138" s="9"/>
      <c r="L1138" s="9"/>
      <c r="M1138" s="9"/>
    </row>
    <row r="1139">
      <c r="J1139" s="9"/>
      <c r="K1139" s="9"/>
      <c r="L1139" s="9"/>
      <c r="M1139" s="9"/>
    </row>
    <row r="1140">
      <c r="J1140" s="9"/>
      <c r="K1140" s="9"/>
      <c r="L1140" s="9"/>
      <c r="M1140" s="9"/>
    </row>
    <row r="1141">
      <c r="J1141" s="9"/>
      <c r="K1141" s="9"/>
      <c r="L1141" s="9"/>
      <c r="M1141" s="9"/>
    </row>
    <row r="1142">
      <c r="J1142" s="9"/>
      <c r="K1142" s="9"/>
      <c r="L1142" s="9"/>
      <c r="M1142" s="9"/>
    </row>
    <row r="1143">
      <c r="J1143" s="9"/>
      <c r="K1143" s="9"/>
      <c r="L1143" s="9"/>
      <c r="M1143" s="9"/>
    </row>
    <row r="1144">
      <c r="J1144" s="9"/>
      <c r="K1144" s="9"/>
      <c r="L1144" s="9"/>
      <c r="M1144" s="9"/>
    </row>
    <row r="1145">
      <c r="J1145" s="9"/>
      <c r="K1145" s="9"/>
      <c r="L1145" s="9"/>
      <c r="M1145" s="9"/>
    </row>
    <row r="1146">
      <c r="J1146" s="9"/>
      <c r="K1146" s="9"/>
      <c r="L1146" s="9"/>
      <c r="M1146" s="9"/>
    </row>
    <row r="1147">
      <c r="J1147" s="9"/>
      <c r="K1147" s="9"/>
      <c r="L1147" s="9"/>
      <c r="M1147" s="9"/>
    </row>
    <row r="1148">
      <c r="J1148" s="9"/>
      <c r="K1148" s="9"/>
      <c r="L1148" s="9"/>
      <c r="M1148" s="9"/>
    </row>
    <row r="1149">
      <c r="J1149" s="9"/>
      <c r="K1149" s="9"/>
      <c r="L1149" s="9"/>
      <c r="M1149" s="9"/>
    </row>
    <row r="1150">
      <c r="J1150" s="9"/>
      <c r="K1150" s="9"/>
      <c r="L1150" s="9"/>
      <c r="M1150" s="9"/>
    </row>
    <row r="1151">
      <c r="J1151" s="9"/>
      <c r="K1151" s="9"/>
      <c r="L1151" s="9"/>
      <c r="M1151" s="9"/>
    </row>
    <row r="1152">
      <c r="J1152" s="9"/>
      <c r="K1152" s="9"/>
      <c r="L1152" s="9"/>
      <c r="M1152" s="9"/>
    </row>
    <row r="1153">
      <c r="J1153" s="9"/>
      <c r="K1153" s="9"/>
      <c r="L1153" s="9"/>
      <c r="M1153" s="9"/>
    </row>
    <row r="1154">
      <c r="J1154" s="9"/>
      <c r="K1154" s="9"/>
      <c r="L1154" s="9"/>
      <c r="M1154" s="9"/>
    </row>
    <row r="1155">
      <c r="J1155" s="9"/>
      <c r="K1155" s="9"/>
      <c r="L1155" s="9"/>
      <c r="M1155" s="9"/>
    </row>
    <row r="1156">
      <c r="J1156" s="9"/>
      <c r="K1156" s="9"/>
      <c r="L1156" s="9"/>
      <c r="M1156" s="9"/>
    </row>
    <row r="1157">
      <c r="J1157" s="9"/>
      <c r="K1157" s="9"/>
      <c r="L1157" s="9"/>
      <c r="M1157" s="9"/>
    </row>
    <row r="1158">
      <c r="J1158" s="9"/>
      <c r="K1158" s="9"/>
      <c r="L1158" s="9"/>
      <c r="M1158" s="9"/>
    </row>
    <row r="1159">
      <c r="J1159" s="9"/>
      <c r="K1159" s="9"/>
      <c r="L1159" s="9"/>
      <c r="M1159" s="9"/>
    </row>
    <row r="1160">
      <c r="J1160" s="9"/>
      <c r="K1160" s="9"/>
      <c r="L1160" s="9"/>
      <c r="M1160" s="9"/>
    </row>
    <row r="1161">
      <c r="J1161" s="9"/>
      <c r="K1161" s="9"/>
      <c r="L1161" s="9"/>
      <c r="M1161" s="9"/>
    </row>
    <row r="1162">
      <c r="J1162" s="9"/>
      <c r="K1162" s="9"/>
      <c r="L1162" s="9"/>
      <c r="M1162" s="9"/>
    </row>
    <row r="1163">
      <c r="J1163" s="9"/>
      <c r="K1163" s="9"/>
      <c r="L1163" s="9"/>
      <c r="M1163" s="9"/>
    </row>
    <row r="1164">
      <c r="J1164" s="9"/>
      <c r="K1164" s="9"/>
      <c r="L1164" s="9"/>
      <c r="M1164" s="9"/>
    </row>
    <row r="1165">
      <c r="J1165" s="9"/>
      <c r="K1165" s="9"/>
      <c r="L1165" s="9"/>
      <c r="M1165" s="9"/>
    </row>
    <row r="1166">
      <c r="J1166" s="9"/>
      <c r="K1166" s="9"/>
      <c r="L1166" s="9"/>
      <c r="M1166" s="9"/>
    </row>
    <row r="1167">
      <c r="J1167" s="9"/>
      <c r="K1167" s="9"/>
      <c r="L1167" s="9"/>
      <c r="M1167" s="9"/>
    </row>
    <row r="1168">
      <c r="J1168" s="9"/>
      <c r="K1168" s="9"/>
      <c r="L1168" s="9"/>
      <c r="M1168" s="9"/>
    </row>
    <row r="1169">
      <c r="J1169" s="9"/>
      <c r="K1169" s="9"/>
      <c r="L1169" s="9"/>
      <c r="M1169" s="9"/>
    </row>
    <row r="1170">
      <c r="J1170" s="9"/>
      <c r="K1170" s="9"/>
      <c r="L1170" s="9"/>
      <c r="M1170" s="9"/>
    </row>
    <row r="1171">
      <c r="J1171" s="9"/>
      <c r="K1171" s="9"/>
      <c r="L1171" s="9"/>
      <c r="M1171" s="9"/>
    </row>
    <row r="1172">
      <c r="J1172" s="9"/>
      <c r="K1172" s="9"/>
      <c r="L1172" s="9"/>
      <c r="M1172" s="9"/>
    </row>
    <row r="1173">
      <c r="J1173" s="9"/>
      <c r="K1173" s="9"/>
      <c r="L1173" s="9"/>
      <c r="M1173" s="9"/>
    </row>
    <row r="1174">
      <c r="J1174" s="9"/>
      <c r="K1174" s="9"/>
      <c r="L1174" s="9"/>
      <c r="M1174" s="9"/>
    </row>
    <row r="1175">
      <c r="J1175" s="9"/>
      <c r="K1175" s="9"/>
      <c r="L1175" s="9"/>
      <c r="M1175" s="9"/>
    </row>
    <row r="1176">
      <c r="J1176" s="9"/>
      <c r="K1176" s="9"/>
      <c r="L1176" s="9"/>
      <c r="M1176" s="9"/>
    </row>
    <row r="1177">
      <c r="J1177" s="9"/>
      <c r="K1177" s="9"/>
      <c r="L1177" s="9"/>
      <c r="M1177" s="9"/>
    </row>
    <row r="1178">
      <c r="J1178" s="9"/>
      <c r="K1178" s="9"/>
      <c r="L1178" s="9"/>
      <c r="M1178" s="9"/>
    </row>
    <row r="1179">
      <c r="J1179" s="9"/>
      <c r="K1179" s="9"/>
      <c r="L1179" s="9"/>
      <c r="M1179" s="9"/>
    </row>
    <row r="1180">
      <c r="J1180" s="9"/>
      <c r="K1180" s="9"/>
      <c r="L1180" s="9"/>
      <c r="M1180" s="9"/>
    </row>
    <row r="1181">
      <c r="J1181" s="9"/>
      <c r="K1181" s="9"/>
      <c r="L1181" s="9"/>
      <c r="M1181" s="9"/>
    </row>
    <row r="1182">
      <c r="J1182" s="9"/>
      <c r="K1182" s="9"/>
      <c r="L1182" s="9"/>
      <c r="M1182" s="9"/>
    </row>
    <row r="1183">
      <c r="J1183" s="9"/>
      <c r="K1183" s="9"/>
      <c r="L1183" s="9"/>
      <c r="M1183" s="9"/>
    </row>
    <row r="1184">
      <c r="J1184" s="9"/>
      <c r="K1184" s="9"/>
      <c r="L1184" s="9"/>
      <c r="M1184" s="9"/>
    </row>
    <row r="1185">
      <c r="J1185" s="9"/>
      <c r="K1185" s="9"/>
      <c r="L1185" s="9"/>
      <c r="M1185" s="9"/>
    </row>
    <row r="1186">
      <c r="J1186" s="9"/>
      <c r="K1186" s="9"/>
      <c r="L1186" s="9"/>
      <c r="M1186" s="9"/>
    </row>
    <row r="1187">
      <c r="J1187" s="9"/>
      <c r="K1187" s="9"/>
      <c r="L1187" s="9"/>
      <c r="M1187" s="9"/>
    </row>
    <row r="1188">
      <c r="J1188" s="9"/>
      <c r="K1188" s="9"/>
      <c r="L1188" s="9"/>
      <c r="M1188" s="9"/>
    </row>
    <row r="1189">
      <c r="J1189" s="9"/>
      <c r="K1189" s="9"/>
      <c r="L1189" s="9"/>
      <c r="M1189" s="9"/>
    </row>
    <row r="1190">
      <c r="J1190" s="9"/>
      <c r="K1190" s="9"/>
      <c r="L1190" s="9"/>
      <c r="M1190" s="9"/>
    </row>
    <row r="1191">
      <c r="J1191" s="9"/>
      <c r="K1191" s="9"/>
      <c r="L1191" s="9"/>
      <c r="M1191" s="9"/>
    </row>
    <row r="1192">
      <c r="J1192" s="9"/>
      <c r="K1192" s="9"/>
      <c r="L1192" s="9"/>
      <c r="M1192" s="9"/>
    </row>
    <row r="1193">
      <c r="J1193" s="9"/>
      <c r="K1193" s="9"/>
      <c r="L1193" s="9"/>
      <c r="M1193" s="9"/>
    </row>
    <row r="1194">
      <c r="J1194" s="9"/>
      <c r="K1194" s="9"/>
      <c r="L1194" s="9"/>
      <c r="M1194" s="9"/>
    </row>
    <row r="1195">
      <c r="J1195" s="9"/>
      <c r="K1195" s="9"/>
      <c r="L1195" s="9"/>
      <c r="M1195" s="9"/>
    </row>
    <row r="1196">
      <c r="J1196" s="9"/>
      <c r="K1196" s="9"/>
      <c r="L1196" s="9"/>
      <c r="M1196" s="9"/>
    </row>
    <row r="1197">
      <c r="J1197" s="9"/>
      <c r="K1197" s="9"/>
      <c r="L1197" s="9"/>
      <c r="M1197" s="9"/>
    </row>
    <row r="1198">
      <c r="J1198" s="9"/>
      <c r="K1198" s="9"/>
      <c r="L1198" s="9"/>
      <c r="M1198" s="9"/>
    </row>
    <row r="1199">
      <c r="J1199" s="9"/>
      <c r="K1199" s="9"/>
      <c r="L1199" s="9"/>
      <c r="M1199" s="9"/>
    </row>
    <row r="1200">
      <c r="J1200" s="9"/>
      <c r="K1200" s="9"/>
      <c r="L1200" s="9"/>
      <c r="M1200" s="9"/>
    </row>
    <row r="1201">
      <c r="J1201" s="9"/>
      <c r="K1201" s="9"/>
      <c r="L1201" s="9"/>
      <c r="M1201" s="9"/>
    </row>
    <row r="1202">
      <c r="J1202" s="9"/>
      <c r="K1202" s="9"/>
      <c r="L1202" s="9"/>
      <c r="M1202" s="9"/>
    </row>
    <row r="1203">
      <c r="J1203" s="9"/>
      <c r="K1203" s="9"/>
      <c r="L1203" s="9"/>
      <c r="M1203" s="9"/>
    </row>
    <row r="1204">
      <c r="J1204" s="9"/>
      <c r="K1204" s="9"/>
      <c r="L1204" s="9"/>
      <c r="M1204" s="9"/>
    </row>
    <row r="1205">
      <c r="J1205" s="9"/>
      <c r="K1205" s="9"/>
      <c r="L1205" s="9"/>
      <c r="M1205" s="9"/>
    </row>
    <row r="1206">
      <c r="J1206" s="9"/>
      <c r="K1206" s="9"/>
      <c r="L1206" s="9"/>
      <c r="M1206" s="9"/>
    </row>
    <row r="1207">
      <c r="J1207" s="9"/>
      <c r="K1207" s="9"/>
      <c r="L1207" s="9"/>
      <c r="M1207" s="9"/>
    </row>
    <row r="1208">
      <c r="J1208" s="9"/>
      <c r="K1208" s="9"/>
      <c r="L1208" s="9"/>
      <c r="M1208" s="9"/>
    </row>
    <row r="1209">
      <c r="J1209" s="9"/>
      <c r="K1209" s="9"/>
      <c r="L1209" s="9"/>
      <c r="M1209" s="9"/>
    </row>
    <row r="1210">
      <c r="J1210" s="9"/>
      <c r="K1210" s="9"/>
      <c r="L1210" s="9"/>
      <c r="M1210" s="9"/>
    </row>
    <row r="1211">
      <c r="J1211" s="9"/>
      <c r="K1211" s="9"/>
      <c r="L1211" s="9"/>
      <c r="M1211" s="9"/>
    </row>
    <row r="1212">
      <c r="J1212" s="9"/>
      <c r="K1212" s="9"/>
      <c r="L1212" s="9"/>
      <c r="M1212" s="9"/>
    </row>
    <row r="1213">
      <c r="J1213" s="9"/>
      <c r="K1213" s="9"/>
      <c r="L1213" s="9"/>
      <c r="M1213" s="9"/>
    </row>
    <row r="1214">
      <c r="J1214" s="9"/>
      <c r="K1214" s="9"/>
      <c r="L1214" s="9"/>
      <c r="M1214" s="9"/>
    </row>
    <row r="1215">
      <c r="J1215" s="9"/>
      <c r="K1215" s="9"/>
      <c r="L1215" s="9"/>
      <c r="M1215" s="9"/>
    </row>
    <row r="1216">
      <c r="J1216" s="9"/>
      <c r="K1216" s="9"/>
      <c r="L1216" s="9"/>
      <c r="M1216" s="9"/>
    </row>
    <row r="1217">
      <c r="J1217" s="9"/>
      <c r="K1217" s="9"/>
      <c r="L1217" s="9"/>
      <c r="M1217" s="9"/>
    </row>
    <row r="1218">
      <c r="J1218" s="9"/>
      <c r="K1218" s="9"/>
      <c r="L1218" s="9"/>
      <c r="M1218" s="9"/>
    </row>
    <row r="1219">
      <c r="J1219" s="9"/>
      <c r="K1219" s="9"/>
      <c r="L1219" s="9"/>
      <c r="M1219" s="9"/>
    </row>
    <row r="1220">
      <c r="J1220" s="9"/>
      <c r="K1220" s="9"/>
      <c r="L1220" s="9"/>
      <c r="M1220" s="9"/>
    </row>
    <row r="1221">
      <c r="J1221" s="9"/>
      <c r="K1221" s="9"/>
      <c r="L1221" s="9"/>
      <c r="M1221" s="9"/>
    </row>
    <row r="1222">
      <c r="J1222" s="9"/>
      <c r="K1222" s="9"/>
      <c r="L1222" s="9"/>
      <c r="M1222" s="9"/>
    </row>
    <row r="1223">
      <c r="J1223" s="9"/>
      <c r="K1223" s="9"/>
      <c r="L1223" s="9"/>
      <c r="M1223" s="9"/>
    </row>
    <row r="1224">
      <c r="J1224" s="9"/>
      <c r="K1224" s="9"/>
      <c r="L1224" s="9"/>
      <c r="M1224" s="9"/>
    </row>
    <row r="1225">
      <c r="J1225" s="9"/>
      <c r="K1225" s="9"/>
      <c r="L1225" s="9"/>
      <c r="M1225" s="9"/>
    </row>
    <row r="1226">
      <c r="J1226" s="9"/>
      <c r="K1226" s="9"/>
      <c r="L1226" s="9"/>
      <c r="M1226" s="9"/>
    </row>
    <row r="1227">
      <c r="J1227" s="9"/>
      <c r="K1227" s="9"/>
      <c r="L1227" s="9"/>
      <c r="M1227" s="9"/>
    </row>
    <row r="1228">
      <c r="J1228" s="9"/>
      <c r="K1228" s="9"/>
      <c r="L1228" s="9"/>
      <c r="M1228" s="9"/>
    </row>
    <row r="1229">
      <c r="J1229" s="9"/>
      <c r="K1229" s="9"/>
      <c r="L1229" s="9"/>
      <c r="M1229" s="9"/>
    </row>
    <row r="1230">
      <c r="J1230" s="9"/>
      <c r="K1230" s="9"/>
      <c r="L1230" s="9"/>
      <c r="M1230" s="9"/>
    </row>
    <row r="1231">
      <c r="J1231" s="9"/>
      <c r="K1231" s="9"/>
      <c r="L1231" s="9"/>
      <c r="M1231" s="9"/>
    </row>
    <row r="1232">
      <c r="J1232" s="9"/>
      <c r="K1232" s="9"/>
      <c r="L1232" s="9"/>
      <c r="M1232" s="9"/>
    </row>
    <row r="1233">
      <c r="J1233" s="9"/>
      <c r="K1233" s="9"/>
      <c r="L1233" s="9"/>
      <c r="M1233" s="9"/>
    </row>
    <row r="1234">
      <c r="J1234" s="9"/>
      <c r="K1234" s="9"/>
      <c r="L1234" s="9"/>
      <c r="M1234" s="9"/>
    </row>
    <row r="1235">
      <c r="J1235" s="9"/>
      <c r="K1235" s="9"/>
      <c r="L1235" s="9"/>
      <c r="M1235" s="9"/>
    </row>
    <row r="1236">
      <c r="J1236" s="9"/>
      <c r="K1236" s="9"/>
      <c r="L1236" s="9"/>
      <c r="M1236" s="9"/>
    </row>
    <row r="1237">
      <c r="J1237" s="9"/>
      <c r="K1237" s="9"/>
      <c r="L1237" s="9"/>
      <c r="M1237" s="9"/>
    </row>
    <row r="1238">
      <c r="J1238" s="9"/>
      <c r="K1238" s="9"/>
      <c r="L1238" s="9"/>
      <c r="M1238" s="9"/>
    </row>
    <row r="1239">
      <c r="J1239" s="9"/>
      <c r="K1239" s="9"/>
      <c r="L1239" s="9"/>
      <c r="M1239" s="9"/>
    </row>
    <row r="1240">
      <c r="J1240" s="9"/>
      <c r="K1240" s="9"/>
      <c r="L1240" s="9"/>
      <c r="M1240" s="9"/>
    </row>
    <row r="1241">
      <c r="J1241" s="9"/>
      <c r="K1241" s="9"/>
      <c r="L1241" s="9"/>
      <c r="M1241" s="9"/>
    </row>
    <row r="1242">
      <c r="J1242" s="9"/>
      <c r="K1242" s="9"/>
      <c r="L1242" s="9"/>
      <c r="M1242" s="9"/>
    </row>
    <row r="1243">
      <c r="J1243" s="9"/>
      <c r="K1243" s="9"/>
      <c r="L1243" s="9"/>
      <c r="M1243" s="9"/>
    </row>
    <row r="1244">
      <c r="J1244" s="9"/>
      <c r="K1244" s="9"/>
      <c r="L1244" s="9"/>
      <c r="M1244" s="9"/>
    </row>
    <row r="1245">
      <c r="J1245" s="9"/>
      <c r="K1245" s="9"/>
      <c r="L1245" s="9"/>
      <c r="M1245" s="9"/>
    </row>
    <row r="1246">
      <c r="J1246" s="9"/>
      <c r="K1246" s="9"/>
      <c r="L1246" s="9"/>
      <c r="M1246" s="9"/>
    </row>
    <row r="1247">
      <c r="J1247" s="9"/>
      <c r="K1247" s="9"/>
      <c r="L1247" s="9"/>
      <c r="M1247" s="9"/>
    </row>
    <row r="1248">
      <c r="J1248" s="9"/>
      <c r="K1248" s="9"/>
      <c r="L1248" s="9"/>
      <c r="M1248" s="9"/>
    </row>
    <row r="1249">
      <c r="J1249" s="9"/>
      <c r="K1249" s="9"/>
      <c r="L1249" s="9"/>
      <c r="M1249" s="9"/>
    </row>
    <row r="1250">
      <c r="J1250" s="9"/>
      <c r="K1250" s="9"/>
      <c r="L1250" s="9"/>
      <c r="M1250" s="9"/>
    </row>
    <row r="1251">
      <c r="J1251" s="9"/>
      <c r="K1251" s="9"/>
      <c r="L1251" s="9"/>
      <c r="M1251" s="9"/>
    </row>
    <row r="1252">
      <c r="J1252" s="9"/>
      <c r="K1252" s="9"/>
      <c r="L1252" s="9"/>
      <c r="M1252" s="9"/>
    </row>
    <row r="1253">
      <c r="J1253" s="9"/>
      <c r="K1253" s="9"/>
      <c r="L1253" s="9"/>
      <c r="M1253" s="9"/>
    </row>
    <row r="1254">
      <c r="J1254" s="9"/>
      <c r="K1254" s="9"/>
      <c r="L1254" s="9"/>
      <c r="M1254" s="9"/>
    </row>
    <row r="1255">
      <c r="J1255" s="9"/>
      <c r="K1255" s="9"/>
      <c r="L1255" s="9"/>
      <c r="M1255" s="9"/>
    </row>
    <row r="1256">
      <c r="J1256" s="9"/>
      <c r="K1256" s="9"/>
      <c r="L1256" s="9"/>
      <c r="M1256" s="9"/>
    </row>
    <row r="1257">
      <c r="J1257" s="9"/>
      <c r="K1257" s="9"/>
      <c r="L1257" s="9"/>
      <c r="M1257" s="9"/>
    </row>
    <row r="1258">
      <c r="J1258" s="9"/>
      <c r="K1258" s="9"/>
      <c r="L1258" s="9"/>
      <c r="M1258" s="9"/>
    </row>
    <row r="1259">
      <c r="J1259" s="9"/>
      <c r="K1259" s="9"/>
      <c r="L1259" s="9"/>
      <c r="M1259" s="9"/>
    </row>
    <row r="1260">
      <c r="J1260" s="9"/>
      <c r="K1260" s="9"/>
      <c r="L1260" s="9"/>
      <c r="M1260" s="9"/>
    </row>
    <row r="1261">
      <c r="J1261" s="9"/>
      <c r="K1261" s="9"/>
      <c r="L1261" s="9"/>
      <c r="M1261" s="9"/>
    </row>
    <row r="1262">
      <c r="J1262" s="9"/>
      <c r="K1262" s="9"/>
      <c r="L1262" s="9"/>
      <c r="M1262" s="9"/>
    </row>
    <row r="1263">
      <c r="J1263" s="9"/>
      <c r="K1263" s="9"/>
      <c r="L1263" s="9"/>
      <c r="M1263" s="9"/>
    </row>
    <row r="1264">
      <c r="J1264" s="9"/>
      <c r="K1264" s="9"/>
      <c r="L1264" s="9"/>
      <c r="M1264" s="9"/>
    </row>
    <row r="1265">
      <c r="J1265" s="9"/>
      <c r="K1265" s="9"/>
      <c r="L1265" s="9"/>
      <c r="M1265" s="9"/>
    </row>
    <row r="1266">
      <c r="J1266" s="9"/>
      <c r="K1266" s="9"/>
      <c r="L1266" s="9"/>
      <c r="M1266" s="9"/>
    </row>
    <row r="1267">
      <c r="J1267" s="9"/>
      <c r="K1267" s="9"/>
      <c r="L1267" s="9"/>
      <c r="M1267" s="9"/>
    </row>
    <row r="1268">
      <c r="J1268" s="9"/>
      <c r="K1268" s="9"/>
      <c r="L1268" s="9"/>
      <c r="M1268" s="9"/>
    </row>
    <row r="1269">
      <c r="J1269" s="9"/>
      <c r="K1269" s="9"/>
      <c r="L1269" s="9"/>
      <c r="M1269" s="9"/>
    </row>
    <row r="1270">
      <c r="J1270" s="9"/>
      <c r="K1270" s="9"/>
      <c r="L1270" s="9"/>
      <c r="M1270" s="9"/>
    </row>
    <row r="1271">
      <c r="J1271" s="9"/>
      <c r="K1271" s="9"/>
      <c r="L1271" s="9"/>
      <c r="M1271" s="9"/>
    </row>
    <row r="1272">
      <c r="J1272" s="9"/>
      <c r="K1272" s="9"/>
      <c r="L1272" s="9"/>
      <c r="M1272" s="9"/>
    </row>
    <row r="1273">
      <c r="J1273" s="9"/>
      <c r="K1273" s="9"/>
      <c r="L1273" s="9"/>
      <c r="M1273" s="9"/>
    </row>
    <row r="1274">
      <c r="J1274" s="9"/>
      <c r="K1274" s="9"/>
      <c r="L1274" s="9"/>
      <c r="M1274" s="9"/>
    </row>
    <row r="1275">
      <c r="J1275" s="9"/>
      <c r="K1275" s="9"/>
      <c r="L1275" s="9"/>
      <c r="M1275" s="9"/>
    </row>
    <row r="1276">
      <c r="J1276" s="9"/>
      <c r="K1276" s="9"/>
      <c r="L1276" s="9"/>
      <c r="M1276" s="9"/>
    </row>
    <row r="1277">
      <c r="J1277" s="9"/>
      <c r="K1277" s="9"/>
      <c r="L1277" s="9"/>
      <c r="M1277" s="9"/>
    </row>
    <row r="1278">
      <c r="J1278" s="9"/>
      <c r="K1278" s="9"/>
      <c r="L1278" s="9"/>
      <c r="M1278" s="9"/>
    </row>
    <row r="1279">
      <c r="J1279" s="9"/>
      <c r="K1279" s="9"/>
      <c r="L1279" s="9"/>
      <c r="M1279" s="9"/>
    </row>
    <row r="1280">
      <c r="J1280" s="9"/>
      <c r="K1280" s="9"/>
      <c r="L1280" s="9"/>
      <c r="M1280" s="9"/>
    </row>
    <row r="1281">
      <c r="J1281" s="9"/>
      <c r="K1281" s="9"/>
      <c r="L1281" s="9"/>
      <c r="M1281" s="9"/>
    </row>
    <row r="1282">
      <c r="J1282" s="9"/>
      <c r="K1282" s="9"/>
      <c r="L1282" s="9"/>
      <c r="M1282" s="9"/>
    </row>
    <row r="1283">
      <c r="J1283" s="9"/>
      <c r="K1283" s="9"/>
      <c r="L1283" s="9"/>
      <c r="M1283" s="9"/>
    </row>
    <row r="1284">
      <c r="J1284" s="9"/>
      <c r="K1284" s="9"/>
      <c r="L1284" s="9"/>
      <c r="M1284" s="9"/>
    </row>
    <row r="1285">
      <c r="J1285" s="9"/>
      <c r="K1285" s="9"/>
      <c r="L1285" s="9"/>
      <c r="M1285" s="9"/>
    </row>
    <row r="1286">
      <c r="J1286" s="9"/>
      <c r="K1286" s="9"/>
      <c r="L1286" s="9"/>
      <c r="M1286" s="9"/>
    </row>
    <row r="1287">
      <c r="J1287" s="9"/>
      <c r="K1287" s="9"/>
      <c r="L1287" s="9"/>
      <c r="M1287" s="9"/>
    </row>
    <row r="1288">
      <c r="J1288" s="9"/>
      <c r="K1288" s="9"/>
      <c r="L1288" s="9"/>
      <c r="M1288" s="9"/>
    </row>
    <row r="1289">
      <c r="J1289" s="9"/>
      <c r="K1289" s="9"/>
      <c r="L1289" s="9"/>
      <c r="M1289" s="9"/>
    </row>
    <row r="1290">
      <c r="J1290" s="9"/>
      <c r="K1290" s="9"/>
      <c r="L1290" s="9"/>
      <c r="M1290" s="9"/>
    </row>
    <row r="1291">
      <c r="J1291" s="9"/>
      <c r="K1291" s="9"/>
      <c r="L1291" s="9"/>
      <c r="M1291" s="9"/>
    </row>
    <row r="1292">
      <c r="J1292" s="9"/>
      <c r="K1292" s="9"/>
      <c r="L1292" s="9"/>
      <c r="M1292" s="9"/>
    </row>
    <row r="1293">
      <c r="J1293" s="9"/>
      <c r="K1293" s="9"/>
      <c r="L1293" s="9"/>
      <c r="M1293" s="9"/>
    </row>
    <row r="1294">
      <c r="J1294" s="9"/>
      <c r="K1294" s="9"/>
      <c r="L1294" s="9"/>
      <c r="M1294" s="9"/>
    </row>
    <row r="1295">
      <c r="J1295" s="9"/>
      <c r="K1295" s="9"/>
      <c r="L1295" s="9"/>
      <c r="M1295" s="9"/>
    </row>
    <row r="1296">
      <c r="J1296" s="9"/>
      <c r="K1296" s="9"/>
      <c r="L1296" s="9"/>
      <c r="M1296" s="9"/>
    </row>
    <row r="1297">
      <c r="J1297" s="9"/>
      <c r="K1297" s="9"/>
      <c r="L1297" s="9"/>
      <c r="M1297" s="9"/>
    </row>
    <row r="1298">
      <c r="J1298" s="9"/>
      <c r="K1298" s="9"/>
      <c r="L1298" s="9"/>
      <c r="M1298" s="9"/>
    </row>
    <row r="1299">
      <c r="J1299" s="9"/>
      <c r="K1299" s="9"/>
      <c r="L1299" s="9"/>
      <c r="M1299" s="9"/>
    </row>
    <row r="1300">
      <c r="J1300" s="9"/>
      <c r="K1300" s="9"/>
      <c r="L1300" s="9"/>
      <c r="M1300" s="9"/>
    </row>
    <row r="1301">
      <c r="J1301" s="9"/>
      <c r="K1301" s="9"/>
      <c r="L1301" s="9"/>
      <c r="M1301" s="9"/>
    </row>
    <row r="1302">
      <c r="J1302" s="9"/>
      <c r="K1302" s="9"/>
      <c r="L1302" s="9"/>
      <c r="M1302" s="9"/>
    </row>
    <row r="1303">
      <c r="J1303" s="9"/>
      <c r="K1303" s="9"/>
      <c r="L1303" s="9"/>
      <c r="M1303" s="9"/>
    </row>
    <row r="1304">
      <c r="J1304" s="9"/>
      <c r="K1304" s="9"/>
      <c r="L1304" s="9"/>
      <c r="M1304" s="9"/>
    </row>
    <row r="1305">
      <c r="J1305" s="9"/>
      <c r="K1305" s="9"/>
      <c r="L1305" s="9"/>
      <c r="M1305" s="9"/>
    </row>
    <row r="1306">
      <c r="J1306" s="9"/>
      <c r="K1306" s="9"/>
      <c r="L1306" s="9"/>
      <c r="M1306" s="9"/>
    </row>
    <row r="1307">
      <c r="J1307" s="9"/>
      <c r="K1307" s="9"/>
      <c r="L1307" s="9"/>
      <c r="M1307" s="9"/>
    </row>
    <row r="1308">
      <c r="J1308" s="9"/>
      <c r="K1308" s="9"/>
      <c r="L1308" s="9"/>
      <c r="M1308" s="9"/>
    </row>
    <row r="1309">
      <c r="J1309" s="9"/>
      <c r="K1309" s="9"/>
      <c r="L1309" s="9"/>
      <c r="M1309" s="9"/>
    </row>
    <row r="1310">
      <c r="J1310" s="9"/>
      <c r="K1310" s="9"/>
      <c r="L1310" s="9"/>
      <c r="M1310" s="9"/>
    </row>
    <row r="1311">
      <c r="J1311" s="9"/>
      <c r="K1311" s="9"/>
      <c r="L1311" s="9"/>
      <c r="M1311" s="9"/>
    </row>
    <row r="1312">
      <c r="J1312" s="9"/>
      <c r="K1312" s="9"/>
      <c r="L1312" s="9"/>
      <c r="M1312" s="9"/>
    </row>
    <row r="1313">
      <c r="J1313" s="9"/>
      <c r="K1313" s="9"/>
      <c r="L1313" s="9"/>
      <c r="M1313" s="9"/>
    </row>
    <row r="1314">
      <c r="J1314" s="9"/>
      <c r="K1314" s="9"/>
      <c r="L1314" s="9"/>
      <c r="M1314" s="9"/>
    </row>
    <row r="1315">
      <c r="J1315" s="9"/>
      <c r="K1315" s="9"/>
      <c r="L1315" s="9"/>
      <c r="M1315" s="9"/>
    </row>
    <row r="1316">
      <c r="J1316" s="9"/>
      <c r="K1316" s="9"/>
      <c r="L1316" s="9"/>
      <c r="M1316" s="9"/>
    </row>
    <row r="1317">
      <c r="J1317" s="9"/>
      <c r="K1317" s="9"/>
      <c r="L1317" s="9"/>
      <c r="M1317" s="9"/>
    </row>
    <row r="1318">
      <c r="J1318" s="9"/>
      <c r="K1318" s="9"/>
      <c r="L1318" s="9"/>
      <c r="M1318" s="9"/>
    </row>
    <row r="1319">
      <c r="J1319" s="9"/>
      <c r="K1319" s="9"/>
      <c r="L1319" s="9"/>
      <c r="M1319" s="9"/>
    </row>
    <row r="1320">
      <c r="J1320" s="9"/>
      <c r="K1320" s="9"/>
      <c r="L1320" s="9"/>
      <c r="M1320" s="9"/>
    </row>
    <row r="1321">
      <c r="J1321" s="9"/>
      <c r="K1321" s="9"/>
      <c r="L1321" s="9"/>
      <c r="M1321" s="9"/>
    </row>
    <row r="1322">
      <c r="J1322" s="9"/>
      <c r="K1322" s="9"/>
      <c r="L1322" s="9"/>
      <c r="M1322" s="9"/>
    </row>
    <row r="1323">
      <c r="J1323" s="9"/>
      <c r="K1323" s="9"/>
      <c r="L1323" s="9"/>
      <c r="M1323" s="9"/>
    </row>
    <row r="1324">
      <c r="J1324" s="9"/>
      <c r="K1324" s="9"/>
      <c r="L1324" s="9"/>
      <c r="M1324" s="9"/>
    </row>
    <row r="1325">
      <c r="J1325" s="9"/>
      <c r="K1325" s="9"/>
      <c r="L1325" s="9"/>
      <c r="M1325" s="9"/>
    </row>
    <row r="1326">
      <c r="J1326" s="9"/>
      <c r="K1326" s="9"/>
      <c r="L1326" s="9"/>
      <c r="M1326" s="9"/>
    </row>
    <row r="1327">
      <c r="J1327" s="9"/>
      <c r="K1327" s="9"/>
      <c r="L1327" s="9"/>
      <c r="M1327" s="9"/>
    </row>
    <row r="1328">
      <c r="J1328" s="9"/>
      <c r="K1328" s="9"/>
      <c r="L1328" s="9"/>
      <c r="M1328" s="9"/>
    </row>
    <row r="1329">
      <c r="J1329" s="9"/>
      <c r="K1329" s="9"/>
      <c r="L1329" s="9"/>
      <c r="M1329" s="9"/>
    </row>
    <row r="1330">
      <c r="J1330" s="9"/>
      <c r="K1330" s="9"/>
      <c r="L1330" s="9"/>
      <c r="M1330" s="9"/>
    </row>
    <row r="1331">
      <c r="J1331" s="9"/>
      <c r="K1331" s="9"/>
      <c r="L1331" s="9"/>
      <c r="M1331" s="9"/>
    </row>
    <row r="1332">
      <c r="J1332" s="9"/>
      <c r="K1332" s="9"/>
      <c r="L1332" s="9"/>
      <c r="M1332" s="9"/>
    </row>
    <row r="1333">
      <c r="J1333" s="9"/>
      <c r="K1333" s="9"/>
      <c r="L1333" s="9"/>
      <c r="M1333" s="9"/>
    </row>
    <row r="1334">
      <c r="J1334" s="9"/>
      <c r="K1334" s="9"/>
      <c r="L1334" s="9"/>
      <c r="M1334" s="9"/>
    </row>
    <row r="1335">
      <c r="J1335" s="9"/>
      <c r="K1335" s="9"/>
      <c r="L1335" s="9"/>
      <c r="M1335" s="9"/>
    </row>
    <row r="1336">
      <c r="J1336" s="9"/>
      <c r="K1336" s="9"/>
      <c r="L1336" s="9"/>
      <c r="M1336" s="9"/>
    </row>
    <row r="1337">
      <c r="J1337" s="9"/>
      <c r="K1337" s="9"/>
      <c r="L1337" s="9"/>
      <c r="M1337" s="9"/>
    </row>
    <row r="1338">
      <c r="J1338" s="9"/>
      <c r="K1338" s="9"/>
      <c r="L1338" s="9"/>
      <c r="M1338" s="9"/>
    </row>
    <row r="1339">
      <c r="J1339" s="9"/>
      <c r="K1339" s="9"/>
      <c r="L1339" s="9"/>
      <c r="M1339" s="9"/>
    </row>
    <row r="1340">
      <c r="J1340" s="9"/>
      <c r="K1340" s="9"/>
      <c r="L1340" s="9"/>
      <c r="M1340" s="9"/>
    </row>
    <row r="1341">
      <c r="J1341" s="9"/>
      <c r="K1341" s="9"/>
      <c r="L1341" s="9"/>
      <c r="M1341" s="9"/>
    </row>
    <row r="1342">
      <c r="J1342" s="9"/>
      <c r="K1342" s="9"/>
      <c r="L1342" s="9"/>
      <c r="M1342" s="9"/>
    </row>
    <row r="1343">
      <c r="J1343" s="9"/>
      <c r="K1343" s="9"/>
      <c r="L1343" s="9"/>
      <c r="M1343" s="9"/>
    </row>
    <row r="1344">
      <c r="J1344" s="9"/>
      <c r="K1344" s="9"/>
      <c r="L1344" s="9"/>
      <c r="M1344" s="9"/>
    </row>
    <row r="1345">
      <c r="J1345" s="9"/>
      <c r="K1345" s="9"/>
      <c r="L1345" s="9"/>
      <c r="M1345" s="9"/>
    </row>
    <row r="1346">
      <c r="J1346" s="9"/>
      <c r="K1346" s="9"/>
      <c r="L1346" s="9"/>
      <c r="M1346" s="9"/>
    </row>
    <row r="1347">
      <c r="J1347" s="9"/>
      <c r="K1347" s="9"/>
      <c r="L1347" s="9"/>
      <c r="M1347" s="9"/>
    </row>
    <row r="1348">
      <c r="J1348" s="9"/>
      <c r="K1348" s="9"/>
      <c r="L1348" s="9"/>
      <c r="M1348" s="9"/>
    </row>
    <row r="1349">
      <c r="J1349" s="9"/>
      <c r="K1349" s="9"/>
      <c r="L1349" s="9"/>
      <c r="M1349" s="9"/>
    </row>
    <row r="1350">
      <c r="J1350" s="9"/>
      <c r="K1350" s="9"/>
      <c r="L1350" s="9"/>
      <c r="M1350" s="9"/>
    </row>
    <row r="1351">
      <c r="J1351" s="9"/>
      <c r="K1351" s="9"/>
      <c r="L1351" s="9"/>
      <c r="M1351" s="9"/>
    </row>
    <row r="1352">
      <c r="J1352" s="9"/>
      <c r="K1352" s="9"/>
      <c r="L1352" s="9"/>
      <c r="M1352" s="9"/>
    </row>
    <row r="1353">
      <c r="J1353" s="9"/>
      <c r="K1353" s="9"/>
      <c r="L1353" s="9"/>
      <c r="M1353" s="9"/>
    </row>
    <row r="1354">
      <c r="J1354" s="9"/>
      <c r="K1354" s="9"/>
      <c r="L1354" s="9"/>
      <c r="M1354" s="9"/>
    </row>
    <row r="1355">
      <c r="J1355" s="9"/>
      <c r="K1355" s="9"/>
      <c r="L1355" s="9"/>
      <c r="M1355" s="9"/>
    </row>
    <row r="1356">
      <c r="J1356" s="9"/>
      <c r="K1356" s="9"/>
      <c r="L1356" s="9"/>
      <c r="M1356" s="9"/>
    </row>
    <row r="1357">
      <c r="J1357" s="9"/>
      <c r="K1357" s="9"/>
      <c r="L1357" s="9"/>
      <c r="M1357" s="9"/>
    </row>
    <row r="1358">
      <c r="J1358" s="9"/>
      <c r="K1358" s="9"/>
      <c r="L1358" s="9"/>
      <c r="M1358" s="9"/>
    </row>
    <row r="1359">
      <c r="J1359" s="9"/>
      <c r="K1359" s="9"/>
      <c r="L1359" s="9"/>
      <c r="M1359" s="9"/>
    </row>
    <row r="1360">
      <c r="J1360" s="9"/>
      <c r="K1360" s="9"/>
      <c r="L1360" s="9"/>
      <c r="M1360" s="9"/>
    </row>
    <row r="1361">
      <c r="J1361" s="9"/>
      <c r="K1361" s="9"/>
      <c r="L1361" s="9"/>
      <c r="M1361" s="9"/>
    </row>
    <row r="1362">
      <c r="J1362" s="9"/>
      <c r="K1362" s="9"/>
      <c r="L1362" s="9"/>
      <c r="M1362" s="9"/>
    </row>
    <row r="1363">
      <c r="J1363" s="9"/>
      <c r="K1363" s="9"/>
      <c r="L1363" s="9"/>
      <c r="M1363" s="9"/>
    </row>
    <row r="1364">
      <c r="J1364" s="9"/>
      <c r="K1364" s="9"/>
      <c r="L1364" s="9"/>
      <c r="M1364" s="9"/>
    </row>
    <row r="1365">
      <c r="J1365" s="9"/>
      <c r="K1365" s="9"/>
      <c r="L1365" s="9"/>
      <c r="M1365" s="9"/>
    </row>
    <row r="1366">
      <c r="J1366" s="9"/>
      <c r="K1366" s="9"/>
      <c r="L1366" s="9"/>
      <c r="M1366" s="9"/>
    </row>
    <row r="1367">
      <c r="J1367" s="9"/>
      <c r="K1367" s="9"/>
      <c r="L1367" s="9"/>
      <c r="M1367" s="9"/>
    </row>
    <row r="1368">
      <c r="J1368" s="9"/>
      <c r="K1368" s="9"/>
      <c r="L1368" s="9"/>
      <c r="M1368" s="9"/>
    </row>
    <row r="1369">
      <c r="J1369" s="9"/>
      <c r="K1369" s="9"/>
      <c r="L1369" s="9"/>
      <c r="M1369" s="9"/>
    </row>
    <row r="1370">
      <c r="J1370" s="9"/>
      <c r="K1370" s="9"/>
      <c r="L1370" s="9"/>
      <c r="M1370" s="9"/>
    </row>
    <row r="1371">
      <c r="J1371" s="9"/>
      <c r="K1371" s="9"/>
      <c r="L1371" s="9"/>
      <c r="M1371" s="9"/>
    </row>
    <row r="1372">
      <c r="J1372" s="9"/>
      <c r="K1372" s="9"/>
      <c r="L1372" s="9"/>
      <c r="M1372" s="9"/>
    </row>
    <row r="1373">
      <c r="J1373" s="9"/>
      <c r="K1373" s="9"/>
      <c r="L1373" s="9"/>
      <c r="M1373" s="9"/>
    </row>
    <row r="1374">
      <c r="J1374" s="9"/>
      <c r="K1374" s="9"/>
      <c r="L1374" s="9"/>
      <c r="M1374" s="9"/>
    </row>
    <row r="1375">
      <c r="J1375" s="9"/>
      <c r="K1375" s="9"/>
      <c r="L1375" s="9"/>
      <c r="M1375" s="9"/>
    </row>
    <row r="1376">
      <c r="J1376" s="9"/>
      <c r="K1376" s="9"/>
      <c r="L1376" s="9"/>
      <c r="M1376" s="9"/>
    </row>
    <row r="1377">
      <c r="J1377" s="9"/>
      <c r="K1377" s="9"/>
      <c r="L1377" s="9"/>
      <c r="M1377" s="9"/>
    </row>
    <row r="1378">
      <c r="J1378" s="9"/>
      <c r="K1378" s="9"/>
      <c r="L1378" s="9"/>
      <c r="M1378" s="9"/>
    </row>
    <row r="1379">
      <c r="J1379" s="9"/>
      <c r="K1379" s="9"/>
      <c r="L1379" s="9"/>
      <c r="M1379" s="9"/>
    </row>
    <row r="1380">
      <c r="J1380" s="9"/>
      <c r="K1380" s="9"/>
      <c r="L1380" s="9"/>
      <c r="M1380" s="9"/>
    </row>
    <row r="1381">
      <c r="J1381" s="9"/>
      <c r="K1381" s="9"/>
      <c r="L1381" s="9"/>
      <c r="M1381" s="9"/>
    </row>
    <row r="1382">
      <c r="J1382" s="9"/>
      <c r="K1382" s="9"/>
      <c r="L1382" s="9"/>
      <c r="M1382" s="9"/>
    </row>
    <row r="1383">
      <c r="J1383" s="9"/>
      <c r="K1383" s="9"/>
      <c r="L1383" s="9"/>
      <c r="M1383" s="9"/>
    </row>
    <row r="1384">
      <c r="J1384" s="9"/>
      <c r="K1384" s="9"/>
      <c r="L1384" s="9"/>
      <c r="M1384" s="9"/>
    </row>
    <row r="1385">
      <c r="J1385" s="9"/>
      <c r="K1385" s="9"/>
      <c r="L1385" s="9"/>
      <c r="M1385" s="9"/>
    </row>
    <row r="1386">
      <c r="J1386" s="9"/>
      <c r="K1386" s="9"/>
      <c r="L1386" s="9"/>
      <c r="M1386" s="9"/>
    </row>
    <row r="1387">
      <c r="J1387" s="9"/>
      <c r="K1387" s="9"/>
      <c r="L1387" s="9"/>
      <c r="M1387" s="9"/>
    </row>
    <row r="1388">
      <c r="J1388" s="9"/>
      <c r="K1388" s="9"/>
      <c r="L1388" s="9"/>
      <c r="M1388" s="9"/>
    </row>
    <row r="1389">
      <c r="J1389" s="9"/>
      <c r="K1389" s="9"/>
      <c r="L1389" s="9"/>
      <c r="M1389" s="9"/>
    </row>
    <row r="1390">
      <c r="J1390" s="9"/>
      <c r="K1390" s="9"/>
      <c r="L1390" s="9"/>
      <c r="M1390" s="9"/>
    </row>
    <row r="1391">
      <c r="J1391" s="9"/>
      <c r="K1391" s="9"/>
      <c r="L1391" s="9"/>
      <c r="M1391" s="9"/>
    </row>
    <row r="1392">
      <c r="J1392" s="9"/>
      <c r="K1392" s="9"/>
      <c r="L1392" s="9"/>
      <c r="M1392" s="9"/>
    </row>
    <row r="1393">
      <c r="J1393" s="9"/>
      <c r="K1393" s="9"/>
      <c r="L1393" s="9"/>
      <c r="M1393" s="9"/>
    </row>
    <row r="1394">
      <c r="J1394" s="9"/>
      <c r="K1394" s="9"/>
      <c r="L1394" s="9"/>
      <c r="M1394" s="9"/>
    </row>
    <row r="1395">
      <c r="J1395" s="9"/>
      <c r="K1395" s="9"/>
      <c r="L1395" s="9"/>
      <c r="M1395" s="9"/>
    </row>
    <row r="1396">
      <c r="J1396" s="9"/>
      <c r="K1396" s="9"/>
      <c r="L1396" s="9"/>
      <c r="M1396" s="9"/>
    </row>
    <row r="1397">
      <c r="J1397" s="9"/>
      <c r="K1397" s="9"/>
      <c r="L1397" s="9"/>
      <c r="M1397" s="9"/>
    </row>
    <row r="1398">
      <c r="J1398" s="9"/>
      <c r="K1398" s="9"/>
      <c r="L1398" s="9"/>
      <c r="M1398" s="9"/>
    </row>
    <row r="1399">
      <c r="J1399" s="9"/>
      <c r="K1399" s="9"/>
      <c r="L1399" s="9"/>
      <c r="M1399" s="9"/>
    </row>
    <row r="1400">
      <c r="J1400" s="9"/>
      <c r="K1400" s="9"/>
      <c r="L1400" s="9"/>
      <c r="M1400" s="9"/>
    </row>
    <row r="1401">
      <c r="J1401" s="9"/>
      <c r="K1401" s="9"/>
      <c r="L1401" s="9"/>
      <c r="M1401" s="9"/>
    </row>
    <row r="1402">
      <c r="J1402" s="9"/>
      <c r="K1402" s="9"/>
      <c r="L1402" s="9"/>
      <c r="M1402" s="9"/>
    </row>
    <row r="1403">
      <c r="J1403" s="9"/>
      <c r="K1403" s="9"/>
      <c r="L1403" s="9"/>
      <c r="M1403" s="9"/>
    </row>
    <row r="1404">
      <c r="J1404" s="9"/>
      <c r="K1404" s="9"/>
      <c r="L1404" s="9"/>
      <c r="M1404" s="9"/>
    </row>
    <row r="1405">
      <c r="J1405" s="9"/>
      <c r="K1405" s="9"/>
      <c r="L1405" s="9"/>
      <c r="M1405" s="9"/>
    </row>
    <row r="1406">
      <c r="J1406" s="9"/>
      <c r="K1406" s="9"/>
      <c r="L1406" s="9"/>
      <c r="M1406" s="9"/>
    </row>
    <row r="1407">
      <c r="J1407" s="9"/>
      <c r="K1407" s="9"/>
      <c r="L1407" s="9"/>
      <c r="M1407" s="9"/>
    </row>
    <row r="1408">
      <c r="J1408" s="9"/>
      <c r="K1408" s="9"/>
      <c r="L1408" s="9"/>
      <c r="M1408" s="9"/>
    </row>
    <row r="1409">
      <c r="J1409" s="9"/>
      <c r="K1409" s="9"/>
      <c r="L1409" s="9"/>
      <c r="M1409" s="9"/>
    </row>
    <row r="1410">
      <c r="J1410" s="9"/>
      <c r="K1410" s="9"/>
      <c r="L1410" s="9"/>
      <c r="M1410" s="9"/>
    </row>
    <row r="1411">
      <c r="J1411" s="9"/>
      <c r="K1411" s="9"/>
      <c r="L1411" s="9"/>
      <c r="M1411" s="9"/>
    </row>
    <row r="1412">
      <c r="J1412" s="9"/>
      <c r="K1412" s="9"/>
      <c r="L1412" s="9"/>
      <c r="M1412" s="9"/>
    </row>
    <row r="1413">
      <c r="J1413" s="9"/>
      <c r="K1413" s="9"/>
      <c r="L1413" s="9"/>
      <c r="M1413" s="9"/>
    </row>
    <row r="1414">
      <c r="J1414" s="9"/>
      <c r="K1414" s="9"/>
      <c r="L1414" s="9"/>
      <c r="M1414" s="9"/>
    </row>
    <row r="1415">
      <c r="J1415" s="9"/>
      <c r="K1415" s="9"/>
      <c r="L1415" s="9"/>
      <c r="M1415" s="9"/>
    </row>
    <row r="1416">
      <c r="J1416" s="9"/>
      <c r="K1416" s="9"/>
      <c r="L1416" s="9"/>
      <c r="M1416" s="9"/>
    </row>
    <row r="1417">
      <c r="J1417" s="9"/>
      <c r="K1417" s="9"/>
      <c r="L1417" s="9"/>
      <c r="M1417" s="9"/>
    </row>
    <row r="1418">
      <c r="J1418" s="9"/>
      <c r="K1418" s="9"/>
      <c r="L1418" s="9"/>
      <c r="M1418" s="9"/>
    </row>
    <row r="1419">
      <c r="J1419" s="9"/>
      <c r="K1419" s="9"/>
      <c r="L1419" s="9"/>
      <c r="M1419" s="9"/>
    </row>
    <row r="1420">
      <c r="J1420" s="9"/>
      <c r="K1420" s="9"/>
      <c r="L1420" s="9"/>
      <c r="M1420" s="9"/>
    </row>
    <row r="1421">
      <c r="J1421" s="9"/>
      <c r="K1421" s="9"/>
      <c r="L1421" s="9"/>
      <c r="M1421" s="9"/>
    </row>
    <row r="1422">
      <c r="J1422" s="9"/>
      <c r="K1422" s="9"/>
      <c r="L1422" s="9"/>
      <c r="M1422" s="9"/>
    </row>
    <row r="1423">
      <c r="J1423" s="9"/>
      <c r="K1423" s="9"/>
      <c r="L1423" s="9"/>
      <c r="M1423" s="9"/>
    </row>
    <row r="1424">
      <c r="J1424" s="9"/>
      <c r="K1424" s="9"/>
      <c r="L1424" s="9"/>
      <c r="M1424" s="9"/>
    </row>
    <row r="1425">
      <c r="J1425" s="9"/>
      <c r="K1425" s="9"/>
      <c r="L1425" s="9"/>
      <c r="M1425" s="9"/>
    </row>
    <row r="1426">
      <c r="J1426" s="9"/>
      <c r="K1426" s="9"/>
      <c r="L1426" s="9"/>
      <c r="M1426" s="9"/>
    </row>
    <row r="1427">
      <c r="J1427" s="9"/>
      <c r="K1427" s="9"/>
      <c r="L1427" s="9"/>
      <c r="M1427" s="9"/>
    </row>
    <row r="1428">
      <c r="J1428" s="9"/>
      <c r="K1428" s="9"/>
      <c r="L1428" s="9"/>
      <c r="M1428" s="9"/>
    </row>
    <row r="1429">
      <c r="J1429" s="9"/>
      <c r="K1429" s="9"/>
      <c r="L1429" s="9"/>
      <c r="M1429" s="9"/>
    </row>
    <row r="1430">
      <c r="J1430" s="9"/>
      <c r="K1430" s="9"/>
      <c r="L1430" s="9"/>
      <c r="M1430" s="9"/>
    </row>
    <row r="1431">
      <c r="J1431" s="9"/>
      <c r="K1431" s="9"/>
      <c r="L1431" s="9"/>
      <c r="M1431" s="9"/>
    </row>
    <row r="1432">
      <c r="J1432" s="9"/>
      <c r="K1432" s="9"/>
      <c r="L1432" s="9"/>
      <c r="M1432" s="9"/>
    </row>
    <row r="1433">
      <c r="J1433" s="9"/>
      <c r="K1433" s="9"/>
      <c r="L1433" s="9"/>
      <c r="M1433" s="9"/>
    </row>
    <row r="1434">
      <c r="J1434" s="9"/>
      <c r="K1434" s="9"/>
      <c r="L1434" s="9"/>
      <c r="M1434" s="9"/>
    </row>
    <row r="1435">
      <c r="J1435" s="9"/>
      <c r="K1435" s="9"/>
      <c r="L1435" s="9"/>
      <c r="M1435" s="9"/>
    </row>
    <row r="1436">
      <c r="J1436" s="9"/>
      <c r="K1436" s="9"/>
      <c r="L1436" s="9"/>
      <c r="M1436" s="9"/>
    </row>
    <row r="1437">
      <c r="J1437" s="9"/>
      <c r="K1437" s="9"/>
      <c r="L1437" s="9"/>
      <c r="M1437" s="9"/>
    </row>
    <row r="1438">
      <c r="J1438" s="9"/>
      <c r="K1438" s="9"/>
      <c r="L1438" s="9"/>
      <c r="M1438" s="9"/>
    </row>
    <row r="1439">
      <c r="J1439" s="9"/>
      <c r="K1439" s="9"/>
      <c r="L1439" s="9"/>
      <c r="M1439" s="9"/>
    </row>
    <row r="1440">
      <c r="J1440" s="9"/>
      <c r="K1440" s="9"/>
      <c r="L1440" s="9"/>
      <c r="M1440" s="9"/>
    </row>
    <row r="1441">
      <c r="J1441" s="9"/>
      <c r="K1441" s="9"/>
      <c r="L1441" s="9"/>
      <c r="M1441" s="9"/>
    </row>
    <row r="1442">
      <c r="J1442" s="9"/>
      <c r="K1442" s="9"/>
      <c r="L1442" s="9"/>
      <c r="M1442" s="9"/>
    </row>
    <row r="1443">
      <c r="J1443" s="9"/>
      <c r="K1443" s="9"/>
      <c r="L1443" s="9"/>
      <c r="M1443" s="9"/>
    </row>
    <row r="1444">
      <c r="J1444" s="9"/>
      <c r="K1444" s="9"/>
      <c r="L1444" s="9"/>
      <c r="M1444" s="9"/>
    </row>
    <row r="1445">
      <c r="J1445" s="9"/>
      <c r="K1445" s="9"/>
      <c r="L1445" s="9"/>
      <c r="M1445" s="9"/>
    </row>
    <row r="1446">
      <c r="J1446" s="9"/>
      <c r="K1446" s="9"/>
      <c r="L1446" s="9"/>
      <c r="M1446" s="9"/>
    </row>
    <row r="1447">
      <c r="J1447" s="9"/>
      <c r="K1447" s="9"/>
      <c r="L1447" s="9"/>
      <c r="M1447" s="9"/>
    </row>
    <row r="1448">
      <c r="J1448" s="9"/>
      <c r="K1448" s="9"/>
      <c r="L1448" s="9"/>
      <c r="M1448" s="9"/>
    </row>
    <row r="1449">
      <c r="J1449" s="9"/>
      <c r="K1449" s="9"/>
      <c r="L1449" s="9"/>
      <c r="M1449" s="9"/>
    </row>
    <row r="1450">
      <c r="J1450" s="9"/>
      <c r="K1450" s="9"/>
      <c r="L1450" s="9"/>
      <c r="M1450" s="9"/>
    </row>
    <row r="1451">
      <c r="J1451" s="9"/>
      <c r="K1451" s="9"/>
      <c r="L1451" s="9"/>
      <c r="M1451" s="9"/>
    </row>
    <row r="1452">
      <c r="J1452" s="9"/>
      <c r="K1452" s="9"/>
      <c r="L1452" s="9"/>
      <c r="M1452" s="9"/>
    </row>
    <row r="1453">
      <c r="J1453" s="9"/>
      <c r="K1453" s="9"/>
      <c r="L1453" s="9"/>
      <c r="M1453" s="9"/>
    </row>
    <row r="1454">
      <c r="J1454" s="9"/>
      <c r="K1454" s="9"/>
      <c r="L1454" s="9"/>
      <c r="M1454" s="9"/>
    </row>
    <row r="1455">
      <c r="J1455" s="9"/>
      <c r="K1455" s="9"/>
      <c r="L1455" s="9"/>
      <c r="M1455" s="9"/>
    </row>
    <row r="1456">
      <c r="J1456" s="9"/>
      <c r="K1456" s="9"/>
      <c r="L1456" s="9"/>
      <c r="M1456" s="9"/>
    </row>
    <row r="1457">
      <c r="J1457" s="9"/>
      <c r="K1457" s="9"/>
      <c r="L1457" s="9"/>
      <c r="M1457" s="9"/>
    </row>
    <row r="1458">
      <c r="J1458" s="9"/>
      <c r="K1458" s="9"/>
      <c r="L1458" s="9"/>
      <c r="M1458" s="9"/>
    </row>
    <row r="1459">
      <c r="J1459" s="9"/>
      <c r="K1459" s="9"/>
      <c r="L1459" s="9"/>
      <c r="M1459" s="9"/>
    </row>
    <row r="1460">
      <c r="J1460" s="9"/>
      <c r="K1460" s="9"/>
      <c r="L1460" s="9"/>
      <c r="M1460" s="9"/>
    </row>
    <row r="1461">
      <c r="J1461" s="9"/>
      <c r="K1461" s="9"/>
      <c r="L1461" s="9"/>
      <c r="M1461" s="9"/>
    </row>
    <row r="1462">
      <c r="J1462" s="9"/>
      <c r="K1462" s="9"/>
      <c r="L1462" s="9"/>
      <c r="M1462" s="9"/>
    </row>
    <row r="1463">
      <c r="J1463" s="9"/>
      <c r="K1463" s="9"/>
      <c r="L1463" s="9"/>
      <c r="M1463" s="9"/>
    </row>
    <row r="1464">
      <c r="J1464" s="9"/>
      <c r="K1464" s="9"/>
      <c r="L1464" s="9"/>
      <c r="M1464" s="9"/>
    </row>
    <row r="1465">
      <c r="J1465" s="9"/>
      <c r="K1465" s="9"/>
      <c r="L1465" s="9"/>
      <c r="M1465" s="9"/>
    </row>
    <row r="1466">
      <c r="J1466" s="9"/>
      <c r="K1466" s="9"/>
      <c r="L1466" s="9"/>
      <c r="M1466" s="9"/>
    </row>
    <row r="1467">
      <c r="J1467" s="9"/>
      <c r="K1467" s="9"/>
      <c r="L1467" s="9"/>
      <c r="M1467" s="9"/>
    </row>
    <row r="1468">
      <c r="J1468" s="9"/>
      <c r="K1468" s="9"/>
      <c r="L1468" s="9"/>
      <c r="M1468" s="9"/>
    </row>
    <row r="1469">
      <c r="J1469" s="9"/>
      <c r="K1469" s="9"/>
      <c r="L1469" s="9"/>
      <c r="M1469" s="9"/>
    </row>
    <row r="1470">
      <c r="J1470" s="9"/>
      <c r="K1470" s="9"/>
      <c r="L1470" s="9"/>
      <c r="M1470" s="9"/>
    </row>
    <row r="1471">
      <c r="J1471" s="9"/>
      <c r="K1471" s="9"/>
      <c r="L1471" s="9"/>
      <c r="M1471" s="9"/>
    </row>
    <row r="1472">
      <c r="J1472" s="9"/>
      <c r="K1472" s="9"/>
      <c r="L1472" s="9"/>
      <c r="M1472" s="9"/>
    </row>
    <row r="1473">
      <c r="J1473" s="9"/>
      <c r="K1473" s="9"/>
      <c r="L1473" s="9"/>
      <c r="M1473" s="9"/>
    </row>
    <row r="1474">
      <c r="J1474" s="9"/>
      <c r="K1474" s="9"/>
      <c r="L1474" s="9"/>
      <c r="M1474" s="9"/>
    </row>
    <row r="1475">
      <c r="J1475" s="9"/>
      <c r="K1475" s="9"/>
      <c r="L1475" s="9"/>
      <c r="M1475" s="9"/>
    </row>
    <row r="1476">
      <c r="J1476" s="9"/>
      <c r="K1476" s="9"/>
      <c r="L1476" s="9"/>
      <c r="M1476" s="9"/>
    </row>
    <row r="1477">
      <c r="J1477" s="9"/>
      <c r="K1477" s="9"/>
      <c r="L1477" s="9"/>
      <c r="M1477" s="9"/>
    </row>
    <row r="1478">
      <c r="J1478" s="9"/>
      <c r="K1478" s="9"/>
      <c r="L1478" s="9"/>
      <c r="M1478" s="9"/>
    </row>
    <row r="1479">
      <c r="J1479" s="9"/>
      <c r="K1479" s="9"/>
      <c r="L1479" s="9"/>
      <c r="M1479" s="9"/>
    </row>
    <row r="1480">
      <c r="J1480" s="9"/>
      <c r="K1480" s="9"/>
      <c r="L1480" s="9"/>
      <c r="M1480" s="9"/>
    </row>
    <row r="1481">
      <c r="J1481" s="9"/>
      <c r="K1481" s="9"/>
      <c r="L1481" s="9"/>
      <c r="M1481" s="9"/>
    </row>
    <row r="1482">
      <c r="J1482" s="9"/>
      <c r="K1482" s="9"/>
      <c r="L1482" s="9"/>
      <c r="M1482" s="9"/>
    </row>
    <row r="1483">
      <c r="J1483" s="9"/>
      <c r="K1483" s="9"/>
      <c r="L1483" s="9"/>
      <c r="M1483" s="9"/>
    </row>
    <row r="1484">
      <c r="J1484" s="9"/>
      <c r="K1484" s="9"/>
      <c r="L1484" s="9"/>
      <c r="M1484" s="9"/>
    </row>
    <row r="1485">
      <c r="J1485" s="9"/>
      <c r="K1485" s="9"/>
      <c r="L1485" s="9"/>
      <c r="M1485" s="9"/>
    </row>
    <row r="1486">
      <c r="J1486" s="9"/>
      <c r="K1486" s="9"/>
      <c r="L1486" s="9"/>
      <c r="M1486" s="9"/>
    </row>
    <row r="1487">
      <c r="J1487" s="9"/>
      <c r="K1487" s="9"/>
      <c r="L1487" s="9"/>
      <c r="M1487" s="9"/>
    </row>
    <row r="1488">
      <c r="J1488" s="9"/>
      <c r="K1488" s="9"/>
      <c r="L1488" s="9"/>
      <c r="M1488" s="9"/>
    </row>
    <row r="1489">
      <c r="J1489" s="9"/>
      <c r="K1489" s="9"/>
      <c r="L1489" s="9"/>
      <c r="M1489" s="9"/>
    </row>
    <row r="1490">
      <c r="J1490" s="9"/>
      <c r="K1490" s="9"/>
      <c r="L1490" s="9"/>
      <c r="M1490" s="9"/>
    </row>
    <row r="1491">
      <c r="J1491" s="9"/>
      <c r="K1491" s="9"/>
      <c r="L1491" s="9"/>
      <c r="M1491" s="9"/>
    </row>
    <row r="1492">
      <c r="J1492" s="9"/>
      <c r="K1492" s="9"/>
      <c r="L1492" s="9"/>
      <c r="M1492" s="9"/>
    </row>
    <row r="1493">
      <c r="J1493" s="9"/>
      <c r="K1493" s="9"/>
      <c r="L1493" s="9"/>
      <c r="M1493" s="9"/>
    </row>
    <row r="1494">
      <c r="J1494" s="9"/>
      <c r="K1494" s="9"/>
      <c r="L1494" s="9"/>
      <c r="M1494" s="9"/>
    </row>
    <row r="1495">
      <c r="J1495" s="9"/>
      <c r="K1495" s="9"/>
      <c r="L1495" s="9"/>
      <c r="M1495" s="9"/>
    </row>
    <row r="1496">
      <c r="J1496" s="9"/>
      <c r="K1496" s="9"/>
      <c r="L1496" s="9"/>
      <c r="M1496" s="9"/>
    </row>
    <row r="1497">
      <c r="J1497" s="9"/>
      <c r="K1497" s="9"/>
      <c r="L1497" s="9"/>
      <c r="M1497" s="9"/>
    </row>
    <row r="1498">
      <c r="J1498" s="9"/>
      <c r="K1498" s="9"/>
      <c r="L1498" s="9"/>
      <c r="M1498" s="9"/>
    </row>
    <row r="1499">
      <c r="J1499" s="9"/>
      <c r="K1499" s="9"/>
      <c r="L1499" s="9"/>
      <c r="M1499" s="9"/>
    </row>
    <row r="1500">
      <c r="J1500" s="9"/>
      <c r="K1500" s="9"/>
      <c r="L1500" s="9"/>
      <c r="M1500" s="9"/>
    </row>
    <row r="1501">
      <c r="J1501" s="9"/>
      <c r="K1501" s="9"/>
      <c r="L1501" s="9"/>
      <c r="M1501" s="9"/>
    </row>
    <row r="1502">
      <c r="J1502" s="9"/>
      <c r="K1502" s="9"/>
      <c r="L1502" s="9"/>
      <c r="M1502" s="9"/>
    </row>
    <row r="1503">
      <c r="J1503" s="9"/>
      <c r="K1503" s="9"/>
      <c r="L1503" s="9"/>
      <c r="M1503" s="9"/>
    </row>
    <row r="1504">
      <c r="J1504" s="9"/>
      <c r="K1504" s="9"/>
      <c r="L1504" s="9"/>
      <c r="M1504" s="9"/>
    </row>
    <row r="1505">
      <c r="J1505" s="9"/>
      <c r="K1505" s="9"/>
      <c r="L1505" s="9"/>
      <c r="M1505" s="9"/>
    </row>
    <row r="1506">
      <c r="J1506" s="9"/>
      <c r="K1506" s="9"/>
      <c r="L1506" s="9"/>
      <c r="M1506" s="9"/>
    </row>
    <row r="1507">
      <c r="J1507" s="9"/>
      <c r="K1507" s="9"/>
      <c r="L1507" s="9"/>
      <c r="M1507" s="9"/>
    </row>
    <row r="1508">
      <c r="J1508" s="9"/>
      <c r="K1508" s="9"/>
      <c r="L1508" s="9"/>
      <c r="M1508" s="9"/>
    </row>
    <row r="1509">
      <c r="J1509" s="9"/>
      <c r="K1509" s="9"/>
      <c r="L1509" s="9"/>
      <c r="M1509" s="9"/>
    </row>
    <row r="1510">
      <c r="J1510" s="9"/>
      <c r="K1510" s="9"/>
      <c r="L1510" s="9"/>
      <c r="M1510" s="9"/>
    </row>
    <row r="1511">
      <c r="J1511" s="9"/>
      <c r="K1511" s="9"/>
      <c r="L1511" s="9"/>
      <c r="M1511" s="9"/>
    </row>
    <row r="1512">
      <c r="J1512" s="9"/>
      <c r="K1512" s="9"/>
      <c r="L1512" s="9"/>
      <c r="M1512" s="9"/>
    </row>
    <row r="1513">
      <c r="J1513" s="9"/>
      <c r="K1513" s="9"/>
      <c r="L1513" s="9"/>
      <c r="M1513" s="9"/>
    </row>
    <row r="1514">
      <c r="J1514" s="9"/>
      <c r="K1514" s="9"/>
      <c r="L1514" s="9"/>
      <c r="M1514" s="9"/>
    </row>
    <row r="1515">
      <c r="J1515" s="9"/>
      <c r="K1515" s="9"/>
      <c r="L1515" s="9"/>
      <c r="M1515" s="9"/>
    </row>
    <row r="1516">
      <c r="J1516" s="9"/>
      <c r="K1516" s="9"/>
      <c r="L1516" s="9"/>
      <c r="M1516" s="9"/>
    </row>
    <row r="1517">
      <c r="J1517" s="9"/>
      <c r="K1517" s="9"/>
      <c r="L1517" s="9"/>
      <c r="M1517" s="9"/>
    </row>
    <row r="1518">
      <c r="J1518" s="9"/>
      <c r="K1518" s="9"/>
      <c r="L1518" s="9"/>
      <c r="M1518" s="9"/>
    </row>
    <row r="1519">
      <c r="J1519" s="9"/>
      <c r="K1519" s="9"/>
      <c r="L1519" s="9"/>
      <c r="M1519" s="9"/>
    </row>
    <row r="1520">
      <c r="J1520" s="9"/>
      <c r="K1520" s="9"/>
      <c r="L1520" s="9"/>
      <c r="M1520" s="9"/>
    </row>
    <row r="1521">
      <c r="J1521" s="9"/>
      <c r="K1521" s="9"/>
      <c r="L1521" s="9"/>
      <c r="M1521" s="9"/>
    </row>
    <row r="1522">
      <c r="J1522" s="9"/>
      <c r="K1522" s="9"/>
      <c r="L1522" s="9"/>
      <c r="M1522" s="9"/>
    </row>
    <row r="1523">
      <c r="J1523" s="9"/>
      <c r="K1523" s="9"/>
      <c r="L1523" s="9"/>
      <c r="M1523" s="9"/>
    </row>
    <row r="1524">
      <c r="J1524" s="9"/>
      <c r="K1524" s="9"/>
      <c r="L1524" s="9"/>
      <c r="M1524" s="9"/>
    </row>
    <row r="1525">
      <c r="J1525" s="9"/>
      <c r="K1525" s="9"/>
      <c r="L1525" s="9"/>
      <c r="M1525" s="9"/>
    </row>
    <row r="1526">
      <c r="J1526" s="9"/>
      <c r="K1526" s="9"/>
      <c r="L1526" s="9"/>
      <c r="M1526" s="9"/>
    </row>
    <row r="1527">
      <c r="J1527" s="9"/>
      <c r="K1527" s="9"/>
      <c r="L1527" s="9"/>
      <c r="M1527" s="9"/>
    </row>
    <row r="1528">
      <c r="J1528" s="9"/>
      <c r="K1528" s="9"/>
      <c r="L1528" s="9"/>
      <c r="M1528" s="9"/>
    </row>
    <row r="1529">
      <c r="J1529" s="9"/>
      <c r="K1529" s="9"/>
      <c r="L1529" s="9"/>
      <c r="M1529" s="9"/>
    </row>
    <row r="1530">
      <c r="J1530" s="9"/>
      <c r="K1530" s="9"/>
      <c r="L1530" s="9"/>
      <c r="M1530" s="9"/>
    </row>
    <row r="1531">
      <c r="J1531" s="9"/>
      <c r="K1531" s="9"/>
      <c r="L1531" s="9"/>
      <c r="M1531" s="9"/>
    </row>
    <row r="1532">
      <c r="J1532" s="9"/>
      <c r="K1532" s="9"/>
      <c r="L1532" s="9"/>
      <c r="M1532" s="9"/>
    </row>
    <row r="1533">
      <c r="J1533" s="9"/>
      <c r="K1533" s="9"/>
      <c r="L1533" s="9"/>
      <c r="M1533" s="9"/>
    </row>
    <row r="1534">
      <c r="J1534" s="9"/>
      <c r="K1534" s="9"/>
      <c r="L1534" s="9"/>
      <c r="M1534" s="9"/>
    </row>
    <row r="1535">
      <c r="J1535" s="9"/>
      <c r="K1535" s="9"/>
      <c r="L1535" s="9"/>
      <c r="M1535" s="9"/>
    </row>
    <row r="1536">
      <c r="J1536" s="9"/>
      <c r="K1536" s="9"/>
      <c r="L1536" s="9"/>
      <c r="M1536" s="9"/>
    </row>
    <row r="1537">
      <c r="J1537" s="9"/>
      <c r="K1537" s="9"/>
      <c r="L1537" s="9"/>
      <c r="M1537" s="9"/>
    </row>
    <row r="1538">
      <c r="J1538" s="9"/>
      <c r="K1538" s="9"/>
      <c r="L1538" s="9"/>
      <c r="M1538" s="9"/>
    </row>
    <row r="1539">
      <c r="J1539" s="9"/>
      <c r="K1539" s="9"/>
      <c r="L1539" s="9"/>
      <c r="M1539" s="9"/>
    </row>
    <row r="1540">
      <c r="J1540" s="9"/>
      <c r="K1540" s="9"/>
      <c r="L1540" s="9"/>
      <c r="M1540" s="9"/>
    </row>
    <row r="1541">
      <c r="J1541" s="9"/>
      <c r="K1541" s="9"/>
      <c r="L1541" s="9"/>
      <c r="M1541" s="9"/>
    </row>
    <row r="1542">
      <c r="J1542" s="9"/>
      <c r="K1542" s="9"/>
      <c r="L1542" s="9"/>
      <c r="M1542" s="9"/>
    </row>
    <row r="1543">
      <c r="J1543" s="9"/>
      <c r="K1543" s="9"/>
      <c r="L1543" s="9"/>
      <c r="M1543" s="9"/>
    </row>
    <row r="1544">
      <c r="J1544" s="9"/>
      <c r="K1544" s="9"/>
      <c r="L1544" s="9"/>
      <c r="M1544" s="9"/>
    </row>
    <row r="1545">
      <c r="J1545" s="9"/>
      <c r="K1545" s="9"/>
      <c r="L1545" s="9"/>
      <c r="M1545" s="9"/>
    </row>
    <row r="1546">
      <c r="J1546" s="9"/>
      <c r="K1546" s="9"/>
      <c r="L1546" s="9"/>
      <c r="M1546" s="9"/>
    </row>
    <row r="1547">
      <c r="J1547" s="9"/>
      <c r="K1547" s="9"/>
      <c r="L1547" s="9"/>
      <c r="M1547" s="9"/>
    </row>
    <row r="1548">
      <c r="J1548" s="9"/>
      <c r="K1548" s="9"/>
      <c r="L1548" s="9"/>
      <c r="M1548" s="9"/>
    </row>
    <row r="1549">
      <c r="J1549" s="9"/>
      <c r="K1549" s="9"/>
      <c r="L1549" s="9"/>
      <c r="M1549" s="9"/>
    </row>
    <row r="1550">
      <c r="J1550" s="9"/>
      <c r="K1550" s="9"/>
      <c r="L1550" s="9"/>
      <c r="M1550" s="9"/>
    </row>
    <row r="1551">
      <c r="J1551" s="9"/>
      <c r="K1551" s="9"/>
      <c r="L1551" s="9"/>
      <c r="M1551" s="9"/>
    </row>
    <row r="1552">
      <c r="J1552" s="9"/>
      <c r="K1552" s="9"/>
      <c r="L1552" s="9"/>
      <c r="M1552" s="9"/>
    </row>
    <row r="1553">
      <c r="J1553" s="9"/>
      <c r="K1553" s="9"/>
      <c r="L1553" s="9"/>
      <c r="M1553" s="9"/>
    </row>
    <row r="1554">
      <c r="J1554" s="9"/>
      <c r="K1554" s="9"/>
      <c r="L1554" s="9"/>
      <c r="M1554" s="9"/>
    </row>
    <row r="1555">
      <c r="J1555" s="9"/>
      <c r="K1555" s="9"/>
      <c r="L1555" s="9"/>
      <c r="M1555" s="9"/>
    </row>
    <row r="1556">
      <c r="J1556" s="9"/>
      <c r="K1556" s="9"/>
      <c r="L1556" s="9"/>
      <c r="M1556" s="9"/>
    </row>
    <row r="1557">
      <c r="J1557" s="9"/>
      <c r="K1557" s="9"/>
      <c r="L1557" s="9"/>
      <c r="M1557" s="9"/>
    </row>
    <row r="1558">
      <c r="J1558" s="9"/>
      <c r="K1558" s="9"/>
      <c r="L1558" s="9"/>
      <c r="M1558" s="9"/>
    </row>
    <row r="1559">
      <c r="J1559" s="9"/>
      <c r="K1559" s="9"/>
      <c r="L1559" s="9"/>
      <c r="M1559" s="9"/>
    </row>
    <row r="1560">
      <c r="J1560" s="9"/>
      <c r="K1560" s="9"/>
      <c r="L1560" s="9"/>
      <c r="M1560" s="9"/>
    </row>
    <row r="1561">
      <c r="J1561" s="9"/>
      <c r="K1561" s="9"/>
      <c r="L1561" s="9"/>
      <c r="M1561" s="9"/>
    </row>
    <row r="1562">
      <c r="J1562" s="9"/>
      <c r="K1562" s="9"/>
      <c r="L1562" s="9"/>
      <c r="M1562" s="9"/>
    </row>
    <row r="1563">
      <c r="J1563" s="9"/>
      <c r="K1563" s="9"/>
      <c r="L1563" s="9"/>
      <c r="M1563" s="9"/>
    </row>
    <row r="1564">
      <c r="J1564" s="9"/>
      <c r="K1564" s="9"/>
      <c r="L1564" s="9"/>
      <c r="M1564" s="9"/>
    </row>
    <row r="1565">
      <c r="J1565" s="9"/>
      <c r="K1565" s="9"/>
      <c r="L1565" s="9"/>
      <c r="M1565" s="9"/>
    </row>
    <row r="1566">
      <c r="J1566" s="9"/>
      <c r="K1566" s="9"/>
      <c r="L1566" s="9"/>
      <c r="M1566" s="9"/>
    </row>
    <row r="1567">
      <c r="J1567" s="9"/>
      <c r="K1567" s="9"/>
      <c r="L1567" s="9"/>
      <c r="M1567" s="9"/>
    </row>
    <row r="1568">
      <c r="J1568" s="9"/>
      <c r="K1568" s="9"/>
      <c r="L1568" s="9"/>
      <c r="M1568" s="9"/>
    </row>
    <row r="1569">
      <c r="J1569" s="9"/>
      <c r="K1569" s="9"/>
      <c r="L1569" s="9"/>
      <c r="M1569" s="9"/>
    </row>
    <row r="1570">
      <c r="J1570" s="9"/>
      <c r="K1570" s="9"/>
      <c r="L1570" s="9"/>
      <c r="M1570" s="9"/>
    </row>
    <row r="1571">
      <c r="J1571" s="9"/>
      <c r="K1571" s="9"/>
      <c r="L1571" s="9"/>
      <c r="M1571" s="9"/>
    </row>
    <row r="1572">
      <c r="J1572" s="9"/>
      <c r="K1572" s="9"/>
      <c r="L1572" s="9"/>
      <c r="M1572" s="9"/>
    </row>
    <row r="1573">
      <c r="J1573" s="9"/>
      <c r="K1573" s="9"/>
      <c r="L1573" s="9"/>
      <c r="M1573" s="9"/>
    </row>
    <row r="1574">
      <c r="J1574" s="9"/>
      <c r="K1574" s="9"/>
      <c r="L1574" s="9"/>
      <c r="M1574" s="9"/>
    </row>
    <row r="1575">
      <c r="J1575" s="9"/>
      <c r="K1575" s="9"/>
      <c r="L1575" s="9"/>
      <c r="M1575" s="9"/>
    </row>
    <row r="1576">
      <c r="J1576" s="9"/>
      <c r="K1576" s="9"/>
      <c r="L1576" s="9"/>
      <c r="M1576" s="9"/>
    </row>
    <row r="1577">
      <c r="J1577" s="9"/>
      <c r="K1577" s="9"/>
      <c r="L1577" s="9"/>
      <c r="M1577" s="9"/>
    </row>
    <row r="1578">
      <c r="J1578" s="9"/>
      <c r="K1578" s="9"/>
      <c r="L1578" s="9"/>
      <c r="M1578" s="9"/>
    </row>
    <row r="1579">
      <c r="J1579" s="9"/>
      <c r="K1579" s="9"/>
      <c r="L1579" s="9"/>
      <c r="M1579" s="9"/>
    </row>
    <row r="1580">
      <c r="J1580" s="9"/>
      <c r="K1580" s="9"/>
      <c r="L1580" s="9"/>
      <c r="M1580" s="9"/>
    </row>
    <row r="1581">
      <c r="J1581" s="9"/>
      <c r="K1581" s="9"/>
      <c r="L1581" s="9"/>
      <c r="M1581" s="9"/>
    </row>
    <row r="1582">
      <c r="J1582" s="9"/>
      <c r="K1582" s="9"/>
      <c r="L1582" s="9"/>
      <c r="M1582" s="9"/>
    </row>
    <row r="1583">
      <c r="J1583" s="9"/>
      <c r="K1583" s="9"/>
      <c r="L1583" s="9"/>
      <c r="M1583" s="9"/>
    </row>
    <row r="1584">
      <c r="J1584" s="9"/>
      <c r="K1584" s="9"/>
      <c r="L1584" s="9"/>
      <c r="M1584" s="9"/>
    </row>
    <row r="1585">
      <c r="J1585" s="9"/>
      <c r="K1585" s="9"/>
      <c r="L1585" s="9"/>
      <c r="M1585" s="9"/>
    </row>
    <row r="1586">
      <c r="J1586" s="9"/>
      <c r="K1586" s="9"/>
      <c r="L1586" s="9"/>
      <c r="M1586" s="9"/>
    </row>
    <row r="1587">
      <c r="J1587" s="9"/>
      <c r="K1587" s="9"/>
      <c r="L1587" s="9"/>
      <c r="M1587" s="9"/>
    </row>
    <row r="1588">
      <c r="J1588" s="9"/>
      <c r="K1588" s="9"/>
      <c r="L1588" s="9"/>
      <c r="M1588" s="9"/>
    </row>
    <row r="1589">
      <c r="J1589" s="9"/>
      <c r="K1589" s="9"/>
      <c r="L1589" s="9"/>
      <c r="M1589" s="9"/>
    </row>
    <row r="1590">
      <c r="J1590" s="9"/>
      <c r="K1590" s="9"/>
      <c r="L1590" s="9"/>
      <c r="M1590" s="9"/>
    </row>
    <row r="1591">
      <c r="J1591" s="9"/>
      <c r="K1591" s="9"/>
      <c r="L1591" s="9"/>
      <c r="M1591" s="9"/>
    </row>
    <row r="1592">
      <c r="J1592" s="9"/>
      <c r="K1592" s="9"/>
      <c r="L1592" s="9"/>
      <c r="M1592" s="9"/>
    </row>
    <row r="1593">
      <c r="J1593" s="9"/>
      <c r="K1593" s="9"/>
      <c r="L1593" s="9"/>
      <c r="M1593" s="9"/>
    </row>
    <row r="1594">
      <c r="J1594" s="9"/>
      <c r="K1594" s="9"/>
      <c r="L1594" s="9"/>
      <c r="M1594" s="9"/>
    </row>
    <row r="1595">
      <c r="J1595" s="9"/>
      <c r="K1595" s="9"/>
      <c r="L1595" s="9"/>
      <c r="M1595" s="9"/>
    </row>
    <row r="1596">
      <c r="J1596" s="9"/>
      <c r="K1596" s="9"/>
      <c r="L1596" s="9"/>
      <c r="M1596" s="9"/>
    </row>
    <row r="1597">
      <c r="J1597" s="9"/>
      <c r="K1597" s="9"/>
      <c r="L1597" s="9"/>
      <c r="M1597" s="9"/>
    </row>
    <row r="1598">
      <c r="J1598" s="9"/>
      <c r="K1598" s="9"/>
      <c r="L1598" s="9"/>
      <c r="M1598" s="9"/>
    </row>
    <row r="1599">
      <c r="J1599" s="9"/>
      <c r="K1599" s="9"/>
      <c r="L1599" s="9"/>
      <c r="M1599" s="9"/>
    </row>
    <row r="1600">
      <c r="J1600" s="9"/>
      <c r="K1600" s="9"/>
      <c r="L1600" s="9"/>
      <c r="M1600" s="9"/>
    </row>
    <row r="1601">
      <c r="J1601" s="9"/>
      <c r="K1601" s="9"/>
      <c r="L1601" s="9"/>
      <c r="M1601" s="9"/>
    </row>
    <row r="1602">
      <c r="J1602" s="9"/>
      <c r="K1602" s="9"/>
      <c r="L1602" s="9"/>
      <c r="M1602" s="9"/>
    </row>
    <row r="1603">
      <c r="J1603" s="9"/>
      <c r="K1603" s="9"/>
      <c r="L1603" s="9"/>
      <c r="M1603" s="9"/>
    </row>
    <row r="1604">
      <c r="J1604" s="9"/>
      <c r="K1604" s="9"/>
      <c r="L1604" s="9"/>
      <c r="M1604" s="9"/>
    </row>
    <row r="1605">
      <c r="J1605" s="9"/>
      <c r="K1605" s="9"/>
      <c r="L1605" s="9"/>
      <c r="M1605" s="9"/>
    </row>
    <row r="1606">
      <c r="J1606" s="9"/>
      <c r="K1606" s="9"/>
      <c r="L1606" s="9"/>
      <c r="M1606" s="9"/>
    </row>
    <row r="1607">
      <c r="J1607" s="9"/>
      <c r="K1607" s="9"/>
      <c r="L1607" s="9"/>
      <c r="M1607" s="9"/>
    </row>
    <row r="1608">
      <c r="J1608" s="9"/>
      <c r="K1608" s="9"/>
      <c r="L1608" s="9"/>
      <c r="M1608" s="9"/>
    </row>
    <row r="1609">
      <c r="J1609" s="9"/>
      <c r="K1609" s="9"/>
      <c r="L1609" s="9"/>
      <c r="M1609" s="9"/>
    </row>
    <row r="1610">
      <c r="J1610" s="9"/>
      <c r="K1610" s="9"/>
      <c r="L1610" s="9"/>
      <c r="M1610" s="9"/>
    </row>
    <row r="1611">
      <c r="J1611" s="9"/>
      <c r="K1611" s="9"/>
      <c r="L1611" s="9"/>
      <c r="M1611" s="9"/>
    </row>
    <row r="1612">
      <c r="J1612" s="9"/>
      <c r="K1612" s="9"/>
      <c r="L1612" s="9"/>
      <c r="M1612" s="9"/>
    </row>
    <row r="1613">
      <c r="J1613" s="9"/>
      <c r="K1613" s="9"/>
      <c r="L1613" s="9"/>
      <c r="M1613" s="9"/>
    </row>
    <row r="1614">
      <c r="J1614" s="9"/>
      <c r="K1614" s="9"/>
      <c r="L1614" s="9"/>
      <c r="M1614" s="9"/>
    </row>
    <row r="1615">
      <c r="J1615" s="9"/>
      <c r="K1615" s="9"/>
      <c r="L1615" s="9"/>
      <c r="M1615" s="9"/>
    </row>
    <row r="1616">
      <c r="J1616" s="9"/>
      <c r="K1616" s="9"/>
      <c r="L1616" s="9"/>
      <c r="M1616" s="9"/>
    </row>
    <row r="1617">
      <c r="J1617" s="9"/>
      <c r="K1617" s="9"/>
      <c r="L1617" s="9"/>
      <c r="M1617" s="9"/>
    </row>
    <row r="1618">
      <c r="J1618" s="9"/>
      <c r="K1618" s="9"/>
      <c r="L1618" s="9"/>
      <c r="M1618" s="9"/>
    </row>
    <row r="1619">
      <c r="J1619" s="9"/>
      <c r="K1619" s="9"/>
      <c r="L1619" s="9"/>
      <c r="M1619" s="9"/>
    </row>
    <row r="1620">
      <c r="J1620" s="9"/>
      <c r="K1620" s="9"/>
      <c r="L1620" s="9"/>
      <c r="M1620" s="9"/>
    </row>
    <row r="1621">
      <c r="J1621" s="9"/>
      <c r="K1621" s="9"/>
      <c r="L1621" s="9"/>
      <c r="M1621" s="9"/>
    </row>
    <row r="1622">
      <c r="J1622" s="9"/>
      <c r="K1622" s="9"/>
      <c r="L1622" s="9"/>
      <c r="M1622" s="9"/>
    </row>
    <row r="1623">
      <c r="J1623" s="9"/>
      <c r="K1623" s="9"/>
      <c r="L1623" s="9"/>
      <c r="M1623" s="9"/>
    </row>
    <row r="1624">
      <c r="J1624" s="9"/>
      <c r="K1624" s="9"/>
      <c r="L1624" s="9"/>
      <c r="M1624" s="9"/>
    </row>
    <row r="1625">
      <c r="J1625" s="9"/>
      <c r="K1625" s="9"/>
      <c r="L1625" s="9"/>
      <c r="M1625" s="9"/>
    </row>
    <row r="1626">
      <c r="J1626" s="9"/>
      <c r="K1626" s="9"/>
      <c r="L1626" s="9"/>
      <c r="M1626" s="9"/>
    </row>
    <row r="1627">
      <c r="J1627" s="9"/>
      <c r="K1627" s="9"/>
      <c r="L1627" s="9"/>
      <c r="M1627" s="9"/>
    </row>
    <row r="1628">
      <c r="J1628" s="9"/>
      <c r="K1628" s="9"/>
      <c r="L1628" s="9"/>
      <c r="M1628" s="9"/>
    </row>
    <row r="1629">
      <c r="J1629" s="9"/>
      <c r="K1629" s="9"/>
      <c r="L1629" s="9"/>
      <c r="M1629" s="9"/>
    </row>
    <row r="1630">
      <c r="J1630" s="9"/>
      <c r="K1630" s="9"/>
      <c r="L1630" s="9"/>
      <c r="M1630" s="9"/>
    </row>
    <row r="1631">
      <c r="J1631" s="9"/>
      <c r="K1631" s="9"/>
      <c r="L1631" s="9"/>
      <c r="M1631" s="9"/>
    </row>
    <row r="1632">
      <c r="J1632" s="9"/>
      <c r="K1632" s="9"/>
      <c r="L1632" s="9"/>
      <c r="M1632" s="9"/>
    </row>
    <row r="1633">
      <c r="J1633" s="9"/>
      <c r="K1633" s="9"/>
      <c r="L1633" s="9"/>
      <c r="M1633" s="9"/>
    </row>
    <row r="1634">
      <c r="J1634" s="9"/>
      <c r="K1634" s="9"/>
      <c r="L1634" s="9"/>
      <c r="M1634" s="9"/>
    </row>
    <row r="1635">
      <c r="J1635" s="9"/>
      <c r="K1635" s="9"/>
      <c r="L1635" s="9"/>
      <c r="M1635" s="9"/>
    </row>
    <row r="1636">
      <c r="J1636" s="9"/>
      <c r="K1636" s="9"/>
      <c r="L1636" s="9"/>
      <c r="M1636" s="9"/>
    </row>
    <row r="1637">
      <c r="J1637" s="9"/>
      <c r="K1637" s="9"/>
      <c r="L1637" s="9"/>
      <c r="M1637" s="9"/>
    </row>
    <row r="1638">
      <c r="J1638" s="9"/>
      <c r="K1638" s="9"/>
      <c r="L1638" s="9"/>
      <c r="M1638" s="9"/>
    </row>
    <row r="1639">
      <c r="J1639" s="9"/>
      <c r="K1639" s="9"/>
      <c r="L1639" s="9"/>
      <c r="M1639" s="9"/>
    </row>
    <row r="1640">
      <c r="J1640" s="9"/>
      <c r="K1640" s="9"/>
      <c r="L1640" s="9"/>
      <c r="M1640" s="9"/>
    </row>
    <row r="1641">
      <c r="J1641" s="9"/>
      <c r="K1641" s="9"/>
      <c r="L1641" s="9"/>
      <c r="M1641" s="9"/>
    </row>
    <row r="1642">
      <c r="J1642" s="9"/>
      <c r="K1642" s="9"/>
      <c r="L1642" s="9"/>
      <c r="M1642" s="9"/>
    </row>
    <row r="1643">
      <c r="J1643" s="9"/>
      <c r="K1643" s="9"/>
      <c r="L1643" s="9"/>
      <c r="M1643" s="9"/>
    </row>
    <row r="1644">
      <c r="J1644" s="9"/>
      <c r="K1644" s="9"/>
      <c r="L1644" s="9"/>
      <c r="M1644" s="9"/>
    </row>
    <row r="1645">
      <c r="J1645" s="9"/>
      <c r="K1645" s="9"/>
      <c r="L1645" s="9"/>
      <c r="M1645" s="9"/>
    </row>
    <row r="1646">
      <c r="J1646" s="9"/>
      <c r="K1646" s="9"/>
      <c r="L1646" s="9"/>
      <c r="M1646" s="9"/>
    </row>
    <row r="1647">
      <c r="J1647" s="9"/>
      <c r="K1647" s="9"/>
      <c r="L1647" s="9"/>
      <c r="M1647" s="9"/>
    </row>
    <row r="1648">
      <c r="J1648" s="9"/>
      <c r="K1648" s="9"/>
      <c r="L1648" s="9"/>
      <c r="M1648" s="9"/>
    </row>
    <row r="1649">
      <c r="J1649" s="9"/>
      <c r="K1649" s="9"/>
      <c r="L1649" s="9"/>
      <c r="M1649" s="9"/>
    </row>
    <row r="1650">
      <c r="J1650" s="9"/>
      <c r="K1650" s="9"/>
      <c r="L1650" s="9"/>
      <c r="M1650" s="9"/>
    </row>
    <row r="1651">
      <c r="J1651" s="9"/>
      <c r="K1651" s="9"/>
      <c r="L1651" s="9"/>
      <c r="M1651" s="9"/>
    </row>
    <row r="1652">
      <c r="J1652" s="9"/>
      <c r="K1652" s="9"/>
      <c r="L1652" s="9"/>
      <c r="M1652" s="9"/>
    </row>
    <row r="1653">
      <c r="J1653" s="9"/>
      <c r="K1653" s="9"/>
      <c r="L1653" s="9"/>
      <c r="M1653" s="9"/>
    </row>
    <row r="1654">
      <c r="J1654" s="9"/>
      <c r="K1654" s="9"/>
      <c r="L1654" s="9"/>
      <c r="M1654" s="9"/>
    </row>
    <row r="1655">
      <c r="J1655" s="9"/>
      <c r="K1655" s="9"/>
      <c r="L1655" s="9"/>
      <c r="M1655" s="9"/>
    </row>
    <row r="1656">
      <c r="J1656" s="9"/>
      <c r="K1656" s="9"/>
      <c r="L1656" s="9"/>
      <c r="M1656" s="9"/>
    </row>
    <row r="1657">
      <c r="J1657" s="9"/>
      <c r="K1657" s="9"/>
      <c r="L1657" s="9"/>
      <c r="M1657" s="9"/>
    </row>
    <row r="1658">
      <c r="J1658" s="9"/>
      <c r="K1658" s="9"/>
      <c r="L1658" s="9"/>
      <c r="M1658" s="9"/>
    </row>
    <row r="1659">
      <c r="J1659" s="9"/>
      <c r="K1659" s="9"/>
      <c r="L1659" s="9"/>
      <c r="M1659" s="9"/>
    </row>
    <row r="1660">
      <c r="J1660" s="9"/>
      <c r="K1660" s="9"/>
      <c r="L1660" s="9"/>
      <c r="M1660" s="9"/>
    </row>
    <row r="1661">
      <c r="J1661" s="9"/>
      <c r="K1661" s="9"/>
      <c r="L1661" s="9"/>
      <c r="M1661" s="9"/>
    </row>
    <row r="1662">
      <c r="J1662" s="9"/>
      <c r="K1662" s="9"/>
      <c r="L1662" s="9"/>
      <c r="M1662" s="9"/>
    </row>
    <row r="1663">
      <c r="J1663" s="9"/>
      <c r="K1663" s="9"/>
      <c r="L1663" s="9"/>
      <c r="M1663" s="9"/>
    </row>
    <row r="1664">
      <c r="J1664" s="9"/>
      <c r="K1664" s="9"/>
      <c r="L1664" s="9"/>
      <c r="M1664" s="9"/>
    </row>
    <row r="1665">
      <c r="J1665" s="9"/>
      <c r="K1665" s="9"/>
      <c r="L1665" s="9"/>
      <c r="M1665" s="9"/>
    </row>
    <row r="1666">
      <c r="J1666" s="9"/>
      <c r="K1666" s="9"/>
      <c r="L1666" s="9"/>
      <c r="M1666" s="9"/>
    </row>
    <row r="1667">
      <c r="J1667" s="9"/>
      <c r="K1667" s="9"/>
      <c r="L1667" s="9"/>
      <c r="M1667" s="9"/>
    </row>
    <row r="1668">
      <c r="J1668" s="9"/>
      <c r="K1668" s="9"/>
      <c r="L1668" s="9"/>
      <c r="M1668" s="9"/>
    </row>
    <row r="1669">
      <c r="J1669" s="9"/>
      <c r="K1669" s="9"/>
      <c r="L1669" s="9"/>
      <c r="M1669" s="9"/>
    </row>
    <row r="1670">
      <c r="J1670" s="9"/>
      <c r="K1670" s="9"/>
      <c r="L1670" s="9"/>
      <c r="M1670" s="9"/>
    </row>
    <row r="1671">
      <c r="J1671" s="9"/>
      <c r="K1671" s="9"/>
      <c r="L1671" s="9"/>
      <c r="M1671" s="9"/>
    </row>
    <row r="1672">
      <c r="J1672" s="9"/>
      <c r="K1672" s="9"/>
      <c r="L1672" s="9"/>
      <c r="M1672" s="9"/>
    </row>
    <row r="1673">
      <c r="J1673" s="9"/>
      <c r="K1673" s="9"/>
      <c r="L1673" s="9"/>
      <c r="M1673" s="9"/>
    </row>
    <row r="1674">
      <c r="J1674" s="9"/>
      <c r="K1674" s="9"/>
      <c r="L1674" s="9"/>
      <c r="M1674" s="9"/>
    </row>
    <row r="1675">
      <c r="J1675" s="9"/>
      <c r="K1675" s="9"/>
      <c r="L1675" s="9"/>
      <c r="M1675" s="9"/>
    </row>
    <row r="1676">
      <c r="J1676" s="9"/>
      <c r="K1676" s="9"/>
      <c r="L1676" s="9"/>
      <c r="M1676" s="9"/>
    </row>
    <row r="1677">
      <c r="J1677" s="9"/>
      <c r="K1677" s="9"/>
      <c r="L1677" s="9"/>
      <c r="M1677" s="9"/>
    </row>
    <row r="1678">
      <c r="J1678" s="9"/>
      <c r="K1678" s="9"/>
      <c r="L1678" s="9"/>
      <c r="M1678" s="9"/>
    </row>
    <row r="1679">
      <c r="J1679" s="9"/>
      <c r="K1679" s="9"/>
      <c r="L1679" s="9"/>
      <c r="M1679" s="9"/>
    </row>
    <row r="1680">
      <c r="J1680" s="9"/>
      <c r="K1680" s="9"/>
      <c r="L1680" s="9"/>
      <c r="M1680" s="9"/>
    </row>
    <row r="1681">
      <c r="J1681" s="9"/>
      <c r="K1681" s="9"/>
      <c r="L1681" s="9"/>
      <c r="M1681" s="9"/>
    </row>
    <row r="1682">
      <c r="J1682" s="9"/>
      <c r="K1682" s="9"/>
      <c r="L1682" s="9"/>
      <c r="M1682" s="9"/>
    </row>
    <row r="1683">
      <c r="J1683" s="9"/>
      <c r="K1683" s="9"/>
      <c r="L1683" s="9"/>
      <c r="M1683" s="9"/>
    </row>
    <row r="1684">
      <c r="J1684" s="9"/>
      <c r="K1684" s="9"/>
      <c r="L1684" s="9"/>
      <c r="M1684" s="9"/>
    </row>
    <row r="1685">
      <c r="J1685" s="9"/>
      <c r="K1685" s="9"/>
      <c r="L1685" s="9"/>
      <c r="M1685" s="9"/>
    </row>
    <row r="1686">
      <c r="J1686" s="9"/>
      <c r="K1686" s="9"/>
      <c r="L1686" s="9"/>
      <c r="M1686" s="9"/>
    </row>
    <row r="1687">
      <c r="J1687" s="9"/>
      <c r="K1687" s="9"/>
      <c r="L1687" s="9"/>
      <c r="M1687" s="9"/>
    </row>
    <row r="1688">
      <c r="J1688" s="9"/>
      <c r="K1688" s="9"/>
      <c r="L1688" s="9"/>
      <c r="M1688" s="9"/>
    </row>
    <row r="1689">
      <c r="J1689" s="9"/>
      <c r="K1689" s="9"/>
      <c r="L1689" s="9"/>
      <c r="M1689" s="9"/>
    </row>
    <row r="1690">
      <c r="J1690" s="9"/>
      <c r="K1690" s="9"/>
      <c r="L1690" s="9"/>
      <c r="M1690" s="9"/>
    </row>
    <row r="1691">
      <c r="J1691" s="9"/>
      <c r="K1691" s="9"/>
      <c r="L1691" s="9"/>
      <c r="M1691" s="9"/>
    </row>
    <row r="1692">
      <c r="J1692" s="9"/>
      <c r="K1692" s="9"/>
      <c r="L1692" s="9"/>
      <c r="M1692" s="9"/>
    </row>
    <row r="1693">
      <c r="J1693" s="9"/>
      <c r="K1693" s="9"/>
      <c r="L1693" s="9"/>
      <c r="M1693" s="9"/>
    </row>
    <row r="1694">
      <c r="J1694" s="9"/>
      <c r="K1694" s="9"/>
      <c r="L1694" s="9"/>
      <c r="M1694" s="9"/>
    </row>
    <row r="1695">
      <c r="J1695" s="9"/>
      <c r="K1695" s="9"/>
      <c r="L1695" s="9"/>
      <c r="M1695" s="9"/>
    </row>
    <row r="1696">
      <c r="J1696" s="9"/>
      <c r="K1696" s="9"/>
      <c r="L1696" s="9"/>
      <c r="M1696" s="9"/>
    </row>
    <row r="1697">
      <c r="J1697" s="9"/>
      <c r="K1697" s="9"/>
      <c r="L1697" s="9"/>
      <c r="M1697" s="9"/>
    </row>
    <row r="1698">
      <c r="J1698" s="9"/>
      <c r="K1698" s="9"/>
      <c r="L1698" s="9"/>
      <c r="M1698" s="9"/>
    </row>
    <row r="1699">
      <c r="J1699" s="9"/>
      <c r="K1699" s="9"/>
      <c r="L1699" s="9"/>
      <c r="M1699" s="9"/>
    </row>
    <row r="1700">
      <c r="J1700" s="9"/>
      <c r="K1700" s="9"/>
      <c r="L1700" s="9"/>
      <c r="M1700" s="9"/>
    </row>
    <row r="1701">
      <c r="J1701" s="9"/>
      <c r="K1701" s="9"/>
      <c r="L1701" s="9"/>
      <c r="M1701" s="9"/>
    </row>
    <row r="1702">
      <c r="J1702" s="9"/>
      <c r="K1702" s="9"/>
      <c r="L1702" s="9"/>
      <c r="M1702" s="9"/>
    </row>
    <row r="1703">
      <c r="J1703" s="9"/>
      <c r="K1703" s="9"/>
      <c r="L1703" s="9"/>
      <c r="M1703" s="9"/>
    </row>
    <row r="1704">
      <c r="J1704" s="9"/>
      <c r="K1704" s="9"/>
      <c r="L1704" s="9"/>
      <c r="M1704" s="9"/>
    </row>
    <row r="1705">
      <c r="J1705" s="9"/>
      <c r="K1705" s="9"/>
      <c r="L1705" s="9"/>
      <c r="M1705" s="9"/>
    </row>
    <row r="1706">
      <c r="J1706" s="9"/>
      <c r="K1706" s="9"/>
      <c r="L1706" s="9"/>
      <c r="M1706" s="9"/>
    </row>
    <row r="1707">
      <c r="J1707" s="9"/>
      <c r="K1707" s="9"/>
      <c r="L1707" s="9"/>
      <c r="M1707" s="9"/>
    </row>
    <row r="1708">
      <c r="J1708" s="9"/>
      <c r="K1708" s="9"/>
      <c r="L1708" s="9"/>
      <c r="M1708" s="9"/>
    </row>
    <row r="1709">
      <c r="J1709" s="9"/>
      <c r="K1709" s="9"/>
      <c r="L1709" s="9"/>
      <c r="M1709" s="9"/>
    </row>
    <row r="1710">
      <c r="J1710" s="9"/>
      <c r="K1710" s="9"/>
      <c r="L1710" s="9"/>
      <c r="M1710" s="9"/>
    </row>
    <row r="1711">
      <c r="J1711" s="9"/>
      <c r="K1711" s="9"/>
      <c r="L1711" s="9"/>
      <c r="M1711" s="9"/>
    </row>
    <row r="1712">
      <c r="J1712" s="9"/>
      <c r="K1712" s="9"/>
      <c r="L1712" s="9"/>
      <c r="M1712" s="9"/>
    </row>
    <row r="1713">
      <c r="J1713" s="9"/>
      <c r="K1713" s="9"/>
      <c r="L1713" s="9"/>
      <c r="M1713" s="9"/>
    </row>
    <row r="1714">
      <c r="J1714" s="9"/>
      <c r="K1714" s="9"/>
      <c r="L1714" s="9"/>
      <c r="M1714" s="9"/>
    </row>
    <row r="1715">
      <c r="J1715" s="9"/>
      <c r="K1715" s="9"/>
      <c r="L1715" s="9"/>
      <c r="M1715" s="9"/>
    </row>
    <row r="1716">
      <c r="J1716" s="9"/>
      <c r="K1716" s="9"/>
      <c r="L1716" s="9"/>
      <c r="M1716" s="9"/>
    </row>
    <row r="1717">
      <c r="J1717" s="9"/>
      <c r="K1717" s="9"/>
      <c r="L1717" s="9"/>
      <c r="M1717" s="9"/>
    </row>
    <row r="1718">
      <c r="J1718" s="9"/>
      <c r="K1718" s="9"/>
      <c r="L1718" s="9"/>
      <c r="M1718" s="9"/>
    </row>
    <row r="1719">
      <c r="J1719" s="9"/>
      <c r="K1719" s="9"/>
      <c r="L1719" s="9"/>
      <c r="M1719" s="9"/>
    </row>
    <row r="1720">
      <c r="J1720" s="9"/>
      <c r="K1720" s="9"/>
      <c r="L1720" s="9"/>
      <c r="M1720" s="9"/>
    </row>
    <row r="1721">
      <c r="J1721" s="9"/>
      <c r="K1721" s="9"/>
      <c r="L1721" s="9"/>
      <c r="M1721" s="9"/>
    </row>
    <row r="1722">
      <c r="J1722" s="9"/>
      <c r="K1722" s="9"/>
      <c r="L1722" s="9"/>
      <c r="M1722" s="9"/>
    </row>
    <row r="1723">
      <c r="J1723" s="9"/>
      <c r="K1723" s="9"/>
      <c r="L1723" s="9"/>
      <c r="M1723" s="9"/>
    </row>
    <row r="1724">
      <c r="J1724" s="9"/>
      <c r="K1724" s="9"/>
      <c r="L1724" s="9"/>
      <c r="M1724" s="9"/>
    </row>
    <row r="1725">
      <c r="J1725" s="9"/>
      <c r="K1725" s="9"/>
      <c r="L1725" s="9"/>
      <c r="M1725" s="9"/>
    </row>
    <row r="1726">
      <c r="J1726" s="9"/>
      <c r="K1726" s="9"/>
      <c r="L1726" s="9"/>
      <c r="M1726" s="9"/>
    </row>
    <row r="1727">
      <c r="J1727" s="9"/>
      <c r="K1727" s="9"/>
      <c r="L1727" s="9"/>
      <c r="M1727" s="9"/>
    </row>
    <row r="1728">
      <c r="J1728" s="9"/>
      <c r="K1728" s="9"/>
      <c r="L1728" s="9"/>
      <c r="M1728" s="9"/>
    </row>
    <row r="1729">
      <c r="J1729" s="9"/>
      <c r="K1729" s="9"/>
      <c r="L1729" s="9"/>
      <c r="M1729" s="9"/>
    </row>
    <row r="1730">
      <c r="J1730" s="9"/>
      <c r="K1730" s="9"/>
      <c r="L1730" s="9"/>
      <c r="M1730" s="9"/>
    </row>
    <row r="1731">
      <c r="J1731" s="9"/>
      <c r="K1731" s="9"/>
      <c r="L1731" s="9"/>
      <c r="M1731" s="9"/>
    </row>
    <row r="1732">
      <c r="J1732" s="9"/>
      <c r="K1732" s="9"/>
      <c r="L1732" s="9"/>
      <c r="M1732" s="9"/>
    </row>
    <row r="1733">
      <c r="J1733" s="9"/>
      <c r="K1733" s="9"/>
      <c r="L1733" s="9"/>
      <c r="M1733" s="9"/>
    </row>
    <row r="1734">
      <c r="J1734" s="9"/>
      <c r="K1734" s="9"/>
      <c r="L1734" s="9"/>
      <c r="M1734" s="9"/>
    </row>
    <row r="1735">
      <c r="J1735" s="9"/>
      <c r="K1735" s="9"/>
      <c r="L1735" s="9"/>
      <c r="M1735" s="9"/>
    </row>
    <row r="1736">
      <c r="J1736" s="9"/>
      <c r="K1736" s="9"/>
      <c r="L1736" s="9"/>
      <c r="M1736" s="9"/>
    </row>
    <row r="1737">
      <c r="J1737" s="9"/>
      <c r="K1737" s="9"/>
      <c r="L1737" s="9"/>
      <c r="M1737" s="9"/>
    </row>
    <row r="1738">
      <c r="J1738" s="9"/>
      <c r="K1738" s="9"/>
      <c r="L1738" s="9"/>
      <c r="M1738" s="9"/>
    </row>
    <row r="1739">
      <c r="J1739" s="9"/>
      <c r="K1739" s="9"/>
      <c r="L1739" s="9"/>
      <c r="M1739" s="9"/>
    </row>
    <row r="1740">
      <c r="J1740" s="9"/>
      <c r="K1740" s="9"/>
      <c r="L1740" s="9"/>
      <c r="M1740" s="9"/>
    </row>
    <row r="1741">
      <c r="J1741" s="9"/>
      <c r="K1741" s="9"/>
      <c r="L1741" s="9"/>
      <c r="M1741" s="9"/>
    </row>
    <row r="1742">
      <c r="J1742" s="9"/>
      <c r="K1742" s="9"/>
      <c r="L1742" s="9"/>
      <c r="M1742" s="9"/>
    </row>
    <row r="1743">
      <c r="J1743" s="9"/>
      <c r="K1743" s="9"/>
      <c r="L1743" s="9"/>
      <c r="M1743" s="9"/>
    </row>
    <row r="1744">
      <c r="J1744" s="9"/>
      <c r="K1744" s="9"/>
      <c r="L1744" s="9"/>
      <c r="M1744" s="9"/>
    </row>
    <row r="1745">
      <c r="J1745" s="9"/>
      <c r="K1745" s="9"/>
      <c r="L1745" s="9"/>
      <c r="M1745" s="9"/>
    </row>
    <row r="1746">
      <c r="J1746" s="9"/>
      <c r="K1746" s="9"/>
      <c r="L1746" s="9"/>
      <c r="M1746" s="9"/>
    </row>
    <row r="1747">
      <c r="J1747" s="9"/>
      <c r="K1747" s="9"/>
      <c r="L1747" s="9"/>
      <c r="M1747" s="9"/>
    </row>
    <row r="1748">
      <c r="J1748" s="9"/>
      <c r="K1748" s="9"/>
      <c r="L1748" s="9"/>
      <c r="M1748" s="9"/>
    </row>
    <row r="1749">
      <c r="J1749" s="9"/>
      <c r="K1749" s="9"/>
      <c r="L1749" s="9"/>
      <c r="M1749" s="9"/>
    </row>
    <row r="1750">
      <c r="J1750" s="9"/>
      <c r="K1750" s="9"/>
      <c r="L1750" s="9"/>
      <c r="M1750" s="9"/>
    </row>
    <row r="1751">
      <c r="J1751" s="9"/>
      <c r="K1751" s="9"/>
      <c r="L1751" s="9"/>
      <c r="M1751" s="9"/>
    </row>
    <row r="1752">
      <c r="J1752" s="9"/>
      <c r="K1752" s="9"/>
      <c r="L1752" s="9"/>
      <c r="M1752" s="9"/>
    </row>
    <row r="1753">
      <c r="J1753" s="9"/>
      <c r="K1753" s="9"/>
      <c r="L1753" s="9"/>
      <c r="M1753" s="9"/>
    </row>
    <row r="1754">
      <c r="J1754" s="9"/>
      <c r="K1754" s="9"/>
      <c r="L1754" s="9"/>
      <c r="M1754" s="9"/>
    </row>
    <row r="1755">
      <c r="J1755" s="9"/>
      <c r="K1755" s="9"/>
      <c r="L1755" s="9"/>
      <c r="M1755" s="9"/>
    </row>
    <row r="1756">
      <c r="J1756" s="9"/>
      <c r="K1756" s="9"/>
      <c r="L1756" s="9"/>
      <c r="M1756" s="9"/>
    </row>
    <row r="1757">
      <c r="J1757" s="9"/>
      <c r="K1757" s="9"/>
      <c r="L1757" s="9"/>
      <c r="M1757" s="9"/>
    </row>
    <row r="1758">
      <c r="J1758" s="9"/>
      <c r="K1758" s="9"/>
      <c r="L1758" s="9"/>
      <c r="M1758" s="9"/>
    </row>
    <row r="1759">
      <c r="J1759" s="9"/>
      <c r="K1759" s="9"/>
      <c r="L1759" s="9"/>
      <c r="M1759" s="9"/>
    </row>
    <row r="1760">
      <c r="J1760" s="9"/>
      <c r="K1760" s="9"/>
      <c r="L1760" s="9"/>
      <c r="M1760" s="9"/>
    </row>
    <row r="1761">
      <c r="J1761" s="9"/>
      <c r="K1761" s="9"/>
      <c r="L1761" s="9"/>
      <c r="M1761" s="9"/>
    </row>
    <row r="1762">
      <c r="J1762" s="9"/>
      <c r="K1762" s="9"/>
      <c r="L1762" s="9"/>
      <c r="M1762" s="9"/>
    </row>
    <row r="1763">
      <c r="J1763" s="9"/>
      <c r="K1763" s="9"/>
      <c r="L1763" s="9"/>
      <c r="M1763" s="9"/>
    </row>
    <row r="1764">
      <c r="J1764" s="9"/>
      <c r="K1764" s="9"/>
      <c r="L1764" s="9"/>
      <c r="M1764" s="9"/>
    </row>
    <row r="1765">
      <c r="J1765" s="9"/>
      <c r="K1765" s="9"/>
      <c r="L1765" s="9"/>
      <c r="M1765" s="9"/>
    </row>
    <row r="1766">
      <c r="J1766" s="9"/>
      <c r="K1766" s="9"/>
      <c r="L1766" s="9"/>
      <c r="M1766" s="9"/>
    </row>
    <row r="1767">
      <c r="J1767" s="9"/>
      <c r="K1767" s="9"/>
      <c r="L1767" s="9"/>
      <c r="M1767" s="9"/>
    </row>
    <row r="1768">
      <c r="J1768" s="9"/>
      <c r="K1768" s="9"/>
      <c r="L1768" s="9"/>
      <c r="M1768" s="9"/>
    </row>
    <row r="1769">
      <c r="J1769" s="9"/>
      <c r="K1769" s="9"/>
      <c r="L1769" s="9"/>
      <c r="M1769" s="9"/>
    </row>
    <row r="1770">
      <c r="J1770" s="9"/>
      <c r="K1770" s="9"/>
      <c r="L1770" s="9"/>
      <c r="M1770" s="9"/>
    </row>
    <row r="1771">
      <c r="J1771" s="9"/>
      <c r="K1771" s="9"/>
      <c r="L1771" s="9"/>
      <c r="M1771" s="9"/>
    </row>
    <row r="1772">
      <c r="J1772" s="9"/>
      <c r="K1772" s="9"/>
      <c r="L1772" s="9"/>
      <c r="M1772" s="9"/>
    </row>
    <row r="1773">
      <c r="J1773" s="9"/>
      <c r="K1773" s="9"/>
      <c r="L1773" s="9"/>
      <c r="M1773" s="9"/>
    </row>
    <row r="1774">
      <c r="J1774" s="9"/>
      <c r="K1774" s="9"/>
      <c r="L1774" s="9"/>
      <c r="M1774" s="9"/>
    </row>
    <row r="1775">
      <c r="J1775" s="9"/>
      <c r="K1775" s="9"/>
      <c r="L1775" s="9"/>
      <c r="M1775" s="9"/>
    </row>
    <row r="1776">
      <c r="J1776" s="9"/>
      <c r="K1776" s="9"/>
      <c r="L1776" s="9"/>
      <c r="M1776" s="9"/>
    </row>
    <row r="1777">
      <c r="J1777" s="9"/>
      <c r="K1777" s="9"/>
      <c r="L1777" s="9"/>
      <c r="M1777" s="9"/>
    </row>
    <row r="1778">
      <c r="J1778" s="9"/>
      <c r="K1778" s="9"/>
      <c r="L1778" s="9"/>
      <c r="M1778" s="9"/>
    </row>
    <row r="1779">
      <c r="J1779" s="9"/>
      <c r="K1779" s="9"/>
      <c r="L1779" s="9"/>
      <c r="M1779" s="9"/>
    </row>
    <row r="1780">
      <c r="J1780" s="9"/>
      <c r="K1780" s="9"/>
      <c r="L1780" s="9"/>
      <c r="M1780" s="9"/>
    </row>
    <row r="1781">
      <c r="J1781" s="9"/>
      <c r="K1781" s="9"/>
      <c r="L1781" s="9"/>
      <c r="M1781" s="9"/>
    </row>
    <row r="1782">
      <c r="J1782" s="9"/>
      <c r="K1782" s="9"/>
      <c r="L1782" s="9"/>
      <c r="M1782" s="9"/>
    </row>
    <row r="1783">
      <c r="J1783" s="9"/>
      <c r="K1783" s="9"/>
      <c r="L1783" s="9"/>
      <c r="M1783" s="9"/>
    </row>
    <row r="1784">
      <c r="J1784" s="9"/>
      <c r="K1784" s="9"/>
      <c r="L1784" s="9"/>
      <c r="M1784" s="9"/>
    </row>
    <row r="1785">
      <c r="J1785" s="9"/>
      <c r="K1785" s="9"/>
      <c r="L1785" s="9"/>
      <c r="M1785" s="9"/>
    </row>
    <row r="1786">
      <c r="J1786" s="9"/>
      <c r="K1786" s="9"/>
      <c r="L1786" s="9"/>
      <c r="M1786" s="9"/>
    </row>
    <row r="1787">
      <c r="J1787" s="9"/>
      <c r="K1787" s="9"/>
      <c r="L1787" s="9"/>
      <c r="M1787" s="9"/>
    </row>
    <row r="1788">
      <c r="J1788" s="9"/>
      <c r="K1788" s="9"/>
      <c r="L1788" s="9"/>
      <c r="M1788" s="9"/>
    </row>
    <row r="1789">
      <c r="J1789" s="9"/>
      <c r="K1789" s="9"/>
      <c r="L1789" s="9"/>
      <c r="M1789" s="9"/>
    </row>
    <row r="1790">
      <c r="J1790" s="9"/>
      <c r="K1790" s="9"/>
      <c r="L1790" s="9"/>
      <c r="M1790" s="9"/>
    </row>
    <row r="1791">
      <c r="J1791" s="9"/>
      <c r="K1791" s="9"/>
      <c r="L1791" s="9"/>
      <c r="M1791" s="9"/>
    </row>
    <row r="1792">
      <c r="J1792" s="9"/>
      <c r="K1792" s="9"/>
      <c r="L1792" s="9"/>
      <c r="M1792" s="9"/>
    </row>
    <row r="1793">
      <c r="J1793" s="9"/>
      <c r="K1793" s="9"/>
      <c r="L1793" s="9"/>
      <c r="M1793" s="9"/>
    </row>
    <row r="1794">
      <c r="J1794" s="9"/>
      <c r="K1794" s="9"/>
      <c r="L1794" s="9"/>
      <c r="M1794" s="9"/>
    </row>
    <row r="1795">
      <c r="J1795" s="9"/>
      <c r="K1795" s="9"/>
      <c r="L1795" s="9"/>
      <c r="M1795" s="9"/>
    </row>
    <row r="1796">
      <c r="J1796" s="9"/>
      <c r="K1796" s="9"/>
      <c r="L1796" s="9"/>
      <c r="M1796" s="9"/>
    </row>
    <row r="1797">
      <c r="J1797" s="9"/>
      <c r="K1797" s="9"/>
      <c r="L1797" s="9"/>
      <c r="M1797" s="9"/>
    </row>
    <row r="1798">
      <c r="J1798" s="9"/>
      <c r="K1798" s="9"/>
      <c r="L1798" s="9"/>
      <c r="M1798" s="9"/>
    </row>
    <row r="1799">
      <c r="J1799" s="9"/>
      <c r="K1799" s="9"/>
      <c r="L1799" s="9"/>
      <c r="M1799" s="9"/>
    </row>
    <row r="1800">
      <c r="J1800" s="9"/>
      <c r="K1800" s="9"/>
      <c r="L1800" s="9"/>
      <c r="M1800" s="9"/>
    </row>
    <row r="1801">
      <c r="J1801" s="9"/>
      <c r="K1801" s="9"/>
      <c r="L1801" s="9"/>
      <c r="M1801" s="9"/>
    </row>
    <row r="1802">
      <c r="J1802" s="9"/>
      <c r="K1802" s="9"/>
      <c r="L1802" s="9"/>
      <c r="M1802" s="9"/>
    </row>
    <row r="1803">
      <c r="J1803" s="9"/>
      <c r="K1803" s="9"/>
      <c r="L1803" s="9"/>
      <c r="M1803" s="9"/>
    </row>
    <row r="1804">
      <c r="J1804" s="9"/>
      <c r="K1804" s="9"/>
      <c r="L1804" s="9"/>
      <c r="M1804" s="9"/>
    </row>
    <row r="1805">
      <c r="J1805" s="9"/>
      <c r="K1805" s="9"/>
      <c r="L1805" s="9"/>
      <c r="M1805" s="9"/>
    </row>
    <row r="1806">
      <c r="J1806" s="9"/>
      <c r="K1806" s="9"/>
      <c r="L1806" s="9"/>
      <c r="M1806" s="9"/>
    </row>
    <row r="1807">
      <c r="J1807" s="9"/>
      <c r="K1807" s="9"/>
      <c r="L1807" s="9"/>
      <c r="M1807" s="9"/>
    </row>
    <row r="1808">
      <c r="J1808" s="9"/>
      <c r="K1808" s="9"/>
      <c r="L1808" s="9"/>
      <c r="M1808" s="9"/>
    </row>
    <row r="1809">
      <c r="J1809" s="9"/>
      <c r="K1809" s="9"/>
      <c r="L1809" s="9"/>
      <c r="M1809" s="9"/>
    </row>
    <row r="1810">
      <c r="J1810" s="9"/>
      <c r="K1810" s="9"/>
      <c r="L1810" s="9"/>
      <c r="M1810" s="9"/>
    </row>
    <row r="1811">
      <c r="J1811" s="9"/>
      <c r="K1811" s="9"/>
      <c r="L1811" s="9"/>
      <c r="M1811" s="9"/>
    </row>
    <row r="1812">
      <c r="J1812" s="9"/>
      <c r="K1812" s="9"/>
      <c r="L1812" s="9"/>
      <c r="M1812" s="9"/>
    </row>
    <row r="1813">
      <c r="J1813" s="9"/>
      <c r="K1813" s="9"/>
      <c r="L1813" s="9"/>
      <c r="M1813" s="9"/>
    </row>
    <row r="1814">
      <c r="J1814" s="9"/>
      <c r="K1814" s="9"/>
      <c r="L1814" s="9"/>
      <c r="M1814" s="9"/>
    </row>
    <row r="1815">
      <c r="J1815" s="9"/>
      <c r="K1815" s="9"/>
      <c r="L1815" s="9"/>
      <c r="M1815" s="9"/>
    </row>
    <row r="1816">
      <c r="J1816" s="9"/>
      <c r="K1816" s="9"/>
      <c r="L1816" s="9"/>
      <c r="M1816" s="9"/>
    </row>
    <row r="1817">
      <c r="J1817" s="9"/>
      <c r="K1817" s="9"/>
      <c r="L1817" s="9"/>
      <c r="M1817" s="9"/>
    </row>
    <row r="1818">
      <c r="J1818" s="9"/>
      <c r="K1818" s="9"/>
      <c r="L1818" s="9"/>
      <c r="M1818" s="9"/>
    </row>
    <row r="1819">
      <c r="J1819" s="9"/>
      <c r="K1819" s="9"/>
      <c r="L1819" s="9"/>
      <c r="M1819" s="9"/>
    </row>
    <row r="1820">
      <c r="J1820" s="9"/>
      <c r="K1820" s="9"/>
      <c r="L1820" s="9"/>
      <c r="M1820" s="9"/>
    </row>
    <row r="1821">
      <c r="J1821" s="9"/>
      <c r="K1821" s="9"/>
      <c r="L1821" s="9"/>
      <c r="M1821" s="9"/>
    </row>
    <row r="1822">
      <c r="J1822" s="9"/>
      <c r="K1822" s="9"/>
      <c r="L1822" s="9"/>
      <c r="M1822" s="9"/>
    </row>
    <row r="1823">
      <c r="J1823" s="9"/>
      <c r="K1823" s="9"/>
      <c r="L1823" s="9"/>
      <c r="M1823" s="9"/>
    </row>
    <row r="1824">
      <c r="J1824" s="9"/>
      <c r="K1824" s="9"/>
      <c r="L1824" s="9"/>
      <c r="M1824" s="9"/>
    </row>
    <row r="1825">
      <c r="J1825" s="9"/>
      <c r="K1825" s="9"/>
      <c r="L1825" s="9"/>
      <c r="M1825" s="9"/>
    </row>
    <row r="1826">
      <c r="J1826" s="9"/>
      <c r="K1826" s="9"/>
      <c r="L1826" s="9"/>
      <c r="M1826" s="9"/>
    </row>
    <row r="1827">
      <c r="J1827" s="9"/>
      <c r="K1827" s="9"/>
      <c r="L1827" s="9"/>
      <c r="M1827" s="9"/>
    </row>
    <row r="1828">
      <c r="J1828" s="9"/>
      <c r="K1828" s="9"/>
      <c r="L1828" s="9"/>
      <c r="M1828" s="9"/>
    </row>
    <row r="1829">
      <c r="J1829" s="9"/>
      <c r="K1829" s="9"/>
      <c r="L1829" s="9"/>
      <c r="M1829" s="9"/>
    </row>
    <row r="1830">
      <c r="J1830" s="9"/>
      <c r="K1830" s="9"/>
      <c r="L1830" s="9"/>
      <c r="M1830" s="9"/>
    </row>
    <row r="1831">
      <c r="J1831" s="9"/>
      <c r="K1831" s="9"/>
      <c r="L1831" s="9"/>
      <c r="M1831" s="9"/>
    </row>
    <row r="1832">
      <c r="J1832" s="9"/>
      <c r="K1832" s="9"/>
      <c r="L1832" s="9"/>
      <c r="M1832" s="9"/>
    </row>
    <row r="1833">
      <c r="J1833" s="9"/>
      <c r="K1833" s="9"/>
      <c r="L1833" s="9"/>
      <c r="M1833" s="9"/>
    </row>
    <row r="1834">
      <c r="J1834" s="9"/>
      <c r="K1834" s="9"/>
      <c r="L1834" s="9"/>
      <c r="M1834" s="9"/>
    </row>
    <row r="1835">
      <c r="J1835" s="9"/>
      <c r="K1835" s="9"/>
      <c r="L1835" s="9"/>
      <c r="M1835" s="9"/>
    </row>
    <row r="1836">
      <c r="J1836" s="9"/>
      <c r="K1836" s="9"/>
      <c r="L1836" s="9"/>
      <c r="M1836" s="9"/>
    </row>
    <row r="1837">
      <c r="J1837" s="9"/>
      <c r="K1837" s="9"/>
      <c r="L1837" s="9"/>
      <c r="M1837" s="9"/>
    </row>
    <row r="1838">
      <c r="J1838" s="9"/>
      <c r="K1838" s="9"/>
      <c r="L1838" s="9"/>
      <c r="M1838" s="9"/>
    </row>
    <row r="1839">
      <c r="J1839" s="9"/>
      <c r="K1839" s="9"/>
      <c r="L1839" s="9"/>
      <c r="M1839" s="9"/>
    </row>
    <row r="1840">
      <c r="J1840" s="9"/>
      <c r="K1840" s="9"/>
      <c r="L1840" s="9"/>
      <c r="M1840" s="9"/>
    </row>
    <row r="1841">
      <c r="J1841" s="9"/>
      <c r="K1841" s="9"/>
      <c r="L1841" s="9"/>
      <c r="M1841" s="9"/>
    </row>
    <row r="1842">
      <c r="J1842" s="9"/>
      <c r="K1842" s="9"/>
      <c r="L1842" s="9"/>
      <c r="M1842" s="9"/>
    </row>
    <row r="1843">
      <c r="J1843" s="9"/>
      <c r="K1843" s="9"/>
      <c r="L1843" s="9"/>
      <c r="M1843" s="9"/>
    </row>
    <row r="1844">
      <c r="J1844" s="9"/>
      <c r="K1844" s="9"/>
      <c r="L1844" s="9"/>
      <c r="M1844" s="9"/>
    </row>
    <row r="1845">
      <c r="J1845" s="9"/>
      <c r="K1845" s="9"/>
      <c r="L1845" s="9"/>
      <c r="M1845" s="9"/>
    </row>
    <row r="1846">
      <c r="J1846" s="9"/>
      <c r="K1846" s="9"/>
      <c r="L1846" s="9"/>
      <c r="M1846" s="9"/>
    </row>
    <row r="1847">
      <c r="J1847" s="9"/>
      <c r="K1847" s="9"/>
      <c r="L1847" s="9"/>
      <c r="M1847" s="9"/>
    </row>
    <row r="1848">
      <c r="J1848" s="9"/>
      <c r="K1848" s="9"/>
      <c r="L1848" s="9"/>
      <c r="M1848" s="9"/>
    </row>
    <row r="1849">
      <c r="J1849" s="9"/>
      <c r="K1849" s="9"/>
      <c r="L1849" s="9"/>
      <c r="M1849" s="9"/>
    </row>
    <row r="1850">
      <c r="J1850" s="9"/>
      <c r="K1850" s="9"/>
      <c r="L1850" s="9"/>
      <c r="M1850" s="9"/>
    </row>
    <row r="1851">
      <c r="J1851" s="9"/>
      <c r="K1851" s="9"/>
      <c r="L1851" s="9"/>
      <c r="M1851" s="9"/>
    </row>
    <row r="1852">
      <c r="J1852" s="9"/>
      <c r="K1852" s="9"/>
      <c r="L1852" s="9"/>
      <c r="M1852" s="9"/>
    </row>
    <row r="1853">
      <c r="J1853" s="9"/>
      <c r="K1853" s="9"/>
      <c r="L1853" s="9"/>
      <c r="M1853" s="9"/>
    </row>
    <row r="1854">
      <c r="J1854" s="9"/>
      <c r="K1854" s="9"/>
      <c r="L1854" s="9"/>
      <c r="M1854" s="9"/>
    </row>
    <row r="1855">
      <c r="J1855" s="9"/>
      <c r="K1855" s="9"/>
      <c r="L1855" s="9"/>
      <c r="M1855" s="9"/>
    </row>
    <row r="1856">
      <c r="J1856" s="9"/>
      <c r="K1856" s="9"/>
      <c r="L1856" s="9"/>
      <c r="M1856" s="9"/>
    </row>
    <row r="1857">
      <c r="J1857" s="9"/>
      <c r="K1857" s="9"/>
      <c r="L1857" s="9"/>
      <c r="M1857" s="9"/>
    </row>
    <row r="1858">
      <c r="J1858" s="9"/>
      <c r="K1858" s="9"/>
      <c r="L1858" s="9"/>
      <c r="M1858" s="9"/>
    </row>
    <row r="1859">
      <c r="J1859" s="9"/>
      <c r="K1859" s="9"/>
      <c r="L1859" s="9"/>
      <c r="M1859" s="9"/>
    </row>
    <row r="1860">
      <c r="J1860" s="9"/>
      <c r="K1860" s="9"/>
      <c r="L1860" s="9"/>
      <c r="M1860" s="9"/>
    </row>
    <row r="1861">
      <c r="J1861" s="9"/>
      <c r="K1861" s="9"/>
      <c r="L1861" s="9"/>
      <c r="M1861" s="9"/>
    </row>
    <row r="1862">
      <c r="J1862" s="9"/>
      <c r="K1862" s="9"/>
      <c r="L1862" s="9"/>
      <c r="M1862" s="9"/>
    </row>
    <row r="1863">
      <c r="J1863" s="9"/>
      <c r="K1863" s="9"/>
      <c r="L1863" s="9"/>
      <c r="M1863" s="9"/>
    </row>
    <row r="1864">
      <c r="J1864" s="9"/>
      <c r="K1864" s="9"/>
      <c r="L1864" s="9"/>
      <c r="M1864" s="9"/>
    </row>
    <row r="1865">
      <c r="J1865" s="9"/>
      <c r="K1865" s="9"/>
      <c r="L1865" s="9"/>
      <c r="M1865" s="9"/>
    </row>
    <row r="1866">
      <c r="J1866" s="9"/>
      <c r="K1866" s="9"/>
      <c r="L1866" s="9"/>
      <c r="M1866" s="9"/>
    </row>
    <row r="1867">
      <c r="J1867" s="9"/>
      <c r="K1867" s="9"/>
      <c r="L1867" s="9"/>
      <c r="M1867" s="9"/>
    </row>
    <row r="1868">
      <c r="J1868" s="9"/>
      <c r="K1868" s="9"/>
      <c r="L1868" s="9"/>
      <c r="M1868" s="9"/>
    </row>
    <row r="1869">
      <c r="J1869" s="9"/>
      <c r="K1869" s="9"/>
      <c r="L1869" s="9"/>
      <c r="M1869" s="9"/>
    </row>
    <row r="1870">
      <c r="J1870" s="9"/>
      <c r="K1870" s="9"/>
      <c r="L1870" s="9"/>
      <c r="M1870" s="9"/>
    </row>
    <row r="1871">
      <c r="J1871" s="9"/>
      <c r="K1871" s="9"/>
      <c r="L1871" s="9"/>
      <c r="M1871" s="9"/>
    </row>
    <row r="1872">
      <c r="J1872" s="9"/>
      <c r="K1872" s="9"/>
      <c r="L1872" s="9"/>
      <c r="M1872" s="9"/>
    </row>
    <row r="1873">
      <c r="J1873" s="9"/>
      <c r="K1873" s="9"/>
      <c r="L1873" s="9"/>
      <c r="M1873" s="9"/>
    </row>
    <row r="1874">
      <c r="J1874" s="9"/>
      <c r="K1874" s="9"/>
      <c r="L1874" s="9"/>
      <c r="M1874" s="9"/>
    </row>
    <row r="1875">
      <c r="J1875" s="9"/>
      <c r="K1875" s="9"/>
      <c r="L1875" s="9"/>
      <c r="M1875" s="9"/>
    </row>
    <row r="1876">
      <c r="J1876" s="9"/>
      <c r="K1876" s="9"/>
      <c r="L1876" s="9"/>
      <c r="M1876" s="9"/>
    </row>
    <row r="1877">
      <c r="J1877" s="9"/>
      <c r="K1877" s="9"/>
      <c r="L1877" s="9"/>
      <c r="M1877" s="9"/>
    </row>
    <row r="1878">
      <c r="J1878" s="9"/>
      <c r="K1878" s="9"/>
      <c r="L1878" s="9"/>
      <c r="M1878" s="9"/>
    </row>
    <row r="1879">
      <c r="J1879" s="9"/>
      <c r="K1879" s="9"/>
      <c r="L1879" s="9"/>
      <c r="M1879" s="9"/>
    </row>
    <row r="1880">
      <c r="J1880" s="9"/>
      <c r="K1880" s="9"/>
      <c r="L1880" s="9"/>
      <c r="M1880" s="9"/>
    </row>
    <row r="1881">
      <c r="J1881" s="9"/>
      <c r="K1881" s="9"/>
      <c r="L1881" s="9"/>
      <c r="M1881" s="9"/>
    </row>
    <row r="1882">
      <c r="J1882" s="9"/>
      <c r="K1882" s="9"/>
      <c r="L1882" s="9"/>
      <c r="M1882" s="9"/>
    </row>
    <row r="1883">
      <c r="J1883" s="9"/>
      <c r="K1883" s="9"/>
      <c r="L1883" s="9"/>
      <c r="M1883" s="9"/>
    </row>
    <row r="1884">
      <c r="J1884" s="9"/>
      <c r="K1884" s="9"/>
      <c r="L1884" s="9"/>
      <c r="M1884" s="9"/>
    </row>
    <row r="1885">
      <c r="J1885" s="9"/>
      <c r="K1885" s="9"/>
      <c r="L1885" s="9"/>
      <c r="M1885" s="9"/>
    </row>
    <row r="1886">
      <c r="J1886" s="9"/>
      <c r="K1886" s="9"/>
      <c r="L1886" s="9"/>
      <c r="M1886" s="9"/>
    </row>
    <row r="1887">
      <c r="J1887" s="9"/>
      <c r="K1887" s="9"/>
      <c r="L1887" s="9"/>
      <c r="M1887" s="9"/>
    </row>
    <row r="1888">
      <c r="J1888" s="9"/>
      <c r="K1888" s="9"/>
      <c r="L1888" s="9"/>
      <c r="M1888" s="9"/>
    </row>
    <row r="1889">
      <c r="J1889" s="9"/>
      <c r="K1889" s="9"/>
      <c r="L1889" s="9"/>
      <c r="M1889" s="9"/>
    </row>
    <row r="1890">
      <c r="J1890" s="9"/>
      <c r="K1890" s="9"/>
      <c r="L1890" s="9"/>
      <c r="M1890" s="9"/>
    </row>
    <row r="1891">
      <c r="J1891" s="9"/>
      <c r="K1891" s="9"/>
      <c r="L1891" s="9"/>
      <c r="M1891" s="9"/>
    </row>
    <row r="1892">
      <c r="J1892" s="9"/>
      <c r="K1892" s="9"/>
      <c r="L1892" s="9"/>
      <c r="M1892" s="9"/>
    </row>
    <row r="1893">
      <c r="J1893" s="9"/>
      <c r="K1893" s="9"/>
      <c r="L1893" s="9"/>
      <c r="M1893" s="9"/>
    </row>
    <row r="1894">
      <c r="J1894" s="9"/>
      <c r="K1894" s="9"/>
      <c r="L1894" s="9"/>
      <c r="M1894" s="9"/>
    </row>
    <row r="1895">
      <c r="J1895" s="9"/>
      <c r="K1895" s="9"/>
      <c r="L1895" s="9"/>
      <c r="M1895" s="9"/>
    </row>
    <row r="1896">
      <c r="J1896" s="9"/>
      <c r="K1896" s="9"/>
      <c r="L1896" s="9"/>
      <c r="M1896" s="9"/>
    </row>
    <row r="1897">
      <c r="J1897" s="9"/>
      <c r="K1897" s="9"/>
      <c r="L1897" s="9"/>
      <c r="M1897" s="9"/>
    </row>
    <row r="1898">
      <c r="J1898" s="9"/>
      <c r="K1898" s="9"/>
      <c r="L1898" s="9"/>
      <c r="M1898" s="9"/>
    </row>
    <row r="1899">
      <c r="J1899" s="9"/>
      <c r="K1899" s="9"/>
      <c r="L1899" s="9"/>
      <c r="M1899" s="9"/>
    </row>
    <row r="1900">
      <c r="J1900" s="9"/>
      <c r="K1900" s="9"/>
      <c r="L1900" s="9"/>
      <c r="M1900" s="9"/>
    </row>
    <row r="1901">
      <c r="J1901" s="9"/>
      <c r="K1901" s="9"/>
      <c r="L1901" s="9"/>
      <c r="M1901" s="9"/>
    </row>
    <row r="1902">
      <c r="J1902" s="9"/>
      <c r="K1902" s="9"/>
      <c r="L1902" s="9"/>
      <c r="M1902" s="9"/>
    </row>
    <row r="1903">
      <c r="J1903" s="9"/>
      <c r="K1903" s="9"/>
      <c r="L1903" s="9"/>
      <c r="M1903" s="9"/>
    </row>
    <row r="1904">
      <c r="J1904" s="9"/>
      <c r="K1904" s="9"/>
      <c r="L1904" s="9"/>
      <c r="M1904" s="9"/>
    </row>
    <row r="1905">
      <c r="J1905" s="9"/>
      <c r="K1905" s="9"/>
      <c r="L1905" s="9"/>
      <c r="M1905" s="9"/>
    </row>
    <row r="1906">
      <c r="J1906" s="9"/>
      <c r="K1906" s="9"/>
      <c r="L1906" s="9"/>
      <c r="M1906" s="9"/>
    </row>
    <row r="1907">
      <c r="J1907" s="9"/>
      <c r="K1907" s="9"/>
      <c r="L1907" s="9"/>
      <c r="M1907" s="9"/>
    </row>
    <row r="1908">
      <c r="J1908" s="9"/>
      <c r="K1908" s="9"/>
      <c r="L1908" s="9"/>
      <c r="M1908" s="9"/>
    </row>
    <row r="1909">
      <c r="J1909" s="9"/>
      <c r="K1909" s="9"/>
      <c r="L1909" s="9"/>
      <c r="M1909" s="9"/>
    </row>
    <row r="1910">
      <c r="J1910" s="9"/>
      <c r="K1910" s="9"/>
      <c r="L1910" s="9"/>
      <c r="M1910" s="9"/>
    </row>
    <row r="1911">
      <c r="J1911" s="9"/>
      <c r="K1911" s="9"/>
      <c r="L1911" s="9"/>
      <c r="M1911" s="9"/>
    </row>
    <row r="1912">
      <c r="J1912" s="9"/>
      <c r="K1912" s="9"/>
      <c r="L1912" s="9"/>
      <c r="M1912" s="9"/>
    </row>
    <row r="1913">
      <c r="J1913" s="9"/>
      <c r="K1913" s="9"/>
      <c r="L1913" s="9"/>
      <c r="M1913" s="9"/>
    </row>
    <row r="1914">
      <c r="J1914" s="9"/>
      <c r="K1914" s="9"/>
      <c r="L1914" s="9"/>
      <c r="M1914" s="9"/>
    </row>
    <row r="1915">
      <c r="J1915" s="9"/>
      <c r="K1915" s="9"/>
      <c r="L1915" s="9"/>
      <c r="M1915" s="9"/>
    </row>
    <row r="1916">
      <c r="J1916" s="9"/>
      <c r="K1916" s="9"/>
      <c r="L1916" s="9"/>
      <c r="M1916" s="9"/>
    </row>
    <row r="1917">
      <c r="J1917" s="9"/>
      <c r="K1917" s="9"/>
      <c r="L1917" s="9"/>
      <c r="M1917" s="9"/>
    </row>
    <row r="1918">
      <c r="J1918" s="9"/>
      <c r="K1918" s="9"/>
      <c r="L1918" s="9"/>
      <c r="M1918" s="9"/>
    </row>
    <row r="1919">
      <c r="J1919" s="9"/>
      <c r="K1919" s="9"/>
      <c r="L1919" s="9"/>
      <c r="M1919" s="9"/>
    </row>
    <row r="1920">
      <c r="J1920" s="9"/>
      <c r="K1920" s="9"/>
      <c r="L1920" s="9"/>
      <c r="M1920" s="9"/>
    </row>
    <row r="1921">
      <c r="J1921" s="9"/>
      <c r="K1921" s="9"/>
      <c r="L1921" s="9"/>
      <c r="M1921" s="9"/>
    </row>
    <row r="1922">
      <c r="J1922" s="9"/>
      <c r="K1922" s="9"/>
      <c r="L1922" s="9"/>
      <c r="M1922" s="9"/>
    </row>
    <row r="1923">
      <c r="J1923" s="9"/>
      <c r="K1923" s="9"/>
      <c r="L1923" s="9"/>
      <c r="M1923" s="9"/>
    </row>
    <row r="1924">
      <c r="J1924" s="9"/>
      <c r="K1924" s="9"/>
      <c r="L1924" s="9"/>
      <c r="M1924" s="9"/>
    </row>
    <row r="1925">
      <c r="J1925" s="9"/>
      <c r="K1925" s="9"/>
      <c r="L1925" s="9"/>
      <c r="M1925" s="9"/>
    </row>
    <row r="1926">
      <c r="J1926" s="9"/>
      <c r="K1926" s="9"/>
      <c r="L1926" s="9"/>
      <c r="M1926" s="9"/>
    </row>
    <row r="1927">
      <c r="J1927" s="9"/>
      <c r="K1927" s="9"/>
      <c r="L1927" s="9"/>
      <c r="M1927" s="9"/>
    </row>
    <row r="1928">
      <c r="J1928" s="9"/>
      <c r="K1928" s="9"/>
      <c r="L1928" s="9"/>
      <c r="M1928" s="9"/>
    </row>
    <row r="1929">
      <c r="J1929" s="9"/>
      <c r="K1929" s="9"/>
      <c r="L1929" s="9"/>
      <c r="M1929" s="9"/>
    </row>
    <row r="1930">
      <c r="J1930" s="9"/>
      <c r="K1930" s="9"/>
      <c r="L1930" s="9"/>
      <c r="M1930" s="9"/>
    </row>
    <row r="1931">
      <c r="J1931" s="9"/>
      <c r="K1931" s="9"/>
      <c r="L1931" s="9"/>
      <c r="M1931" s="9"/>
    </row>
    <row r="1932">
      <c r="J1932" s="9"/>
      <c r="K1932" s="9"/>
      <c r="L1932" s="9"/>
      <c r="M1932" s="9"/>
    </row>
    <row r="1933">
      <c r="J1933" s="9"/>
      <c r="K1933" s="9"/>
      <c r="L1933" s="9"/>
      <c r="M1933" s="9"/>
    </row>
    <row r="1934">
      <c r="J1934" s="9"/>
      <c r="K1934" s="9"/>
      <c r="L1934" s="9"/>
      <c r="M1934" s="9"/>
    </row>
    <row r="1935">
      <c r="J1935" s="9"/>
      <c r="K1935" s="9"/>
      <c r="L1935" s="9"/>
      <c r="M1935" s="9"/>
    </row>
    <row r="1936">
      <c r="J1936" s="9"/>
      <c r="K1936" s="9"/>
      <c r="L1936" s="9"/>
      <c r="M1936" s="9"/>
    </row>
    <row r="1937">
      <c r="J1937" s="9"/>
      <c r="K1937" s="9"/>
      <c r="L1937" s="9"/>
      <c r="M1937" s="9"/>
    </row>
    <row r="1938">
      <c r="J1938" s="9"/>
      <c r="K1938" s="9"/>
      <c r="L1938" s="9"/>
      <c r="M1938" s="9"/>
    </row>
    <row r="1939">
      <c r="J1939" s="9"/>
      <c r="K1939" s="9"/>
      <c r="L1939" s="9"/>
      <c r="M1939" s="9"/>
    </row>
    <row r="1940">
      <c r="J1940" s="9"/>
      <c r="K1940" s="9"/>
      <c r="L1940" s="9"/>
      <c r="M1940" s="9"/>
    </row>
    <row r="1941">
      <c r="J1941" s="9"/>
      <c r="K1941" s="9"/>
      <c r="L1941" s="9"/>
      <c r="M1941" s="9"/>
    </row>
    <row r="1942">
      <c r="J1942" s="9"/>
      <c r="K1942" s="9"/>
      <c r="L1942" s="9"/>
      <c r="M1942" s="9"/>
    </row>
    <row r="1943">
      <c r="J1943" s="9"/>
      <c r="K1943" s="9"/>
      <c r="L1943" s="9"/>
      <c r="M1943" s="9"/>
    </row>
    <row r="1944">
      <c r="J1944" s="9"/>
      <c r="K1944" s="9"/>
      <c r="L1944" s="9"/>
      <c r="M1944" s="9"/>
    </row>
    <row r="1945">
      <c r="J1945" s="9"/>
      <c r="K1945" s="9"/>
      <c r="L1945" s="9"/>
      <c r="M1945" s="9"/>
    </row>
    <row r="1946">
      <c r="J1946" s="9"/>
      <c r="K1946" s="9"/>
      <c r="L1946" s="9"/>
      <c r="M1946" s="9"/>
    </row>
    <row r="1947">
      <c r="J1947" s="9"/>
      <c r="K1947" s="9"/>
      <c r="L1947" s="9"/>
      <c r="M1947" s="9"/>
    </row>
    <row r="1948">
      <c r="J1948" s="9"/>
      <c r="K1948" s="9"/>
      <c r="L1948" s="9"/>
      <c r="M1948" s="9"/>
    </row>
    <row r="1949">
      <c r="J1949" s="9"/>
      <c r="K1949" s="9"/>
      <c r="L1949" s="9"/>
      <c r="M1949" s="9"/>
    </row>
    <row r="1950">
      <c r="J1950" s="9"/>
      <c r="K1950" s="9"/>
      <c r="L1950" s="9"/>
      <c r="M1950" s="9"/>
    </row>
    <row r="1951">
      <c r="J1951" s="9"/>
      <c r="K1951" s="9"/>
      <c r="L1951" s="9"/>
      <c r="M1951" s="9"/>
    </row>
    <row r="1952">
      <c r="J1952" s="9"/>
      <c r="K1952" s="9"/>
      <c r="L1952" s="9"/>
      <c r="M1952" s="9"/>
    </row>
    <row r="1953">
      <c r="J1953" s="9"/>
      <c r="K1953" s="9"/>
      <c r="L1953" s="9"/>
      <c r="M1953" s="9"/>
    </row>
    <row r="1954">
      <c r="J1954" s="9"/>
      <c r="K1954" s="9"/>
      <c r="L1954" s="9"/>
      <c r="M1954" s="9"/>
    </row>
    <row r="1955">
      <c r="J1955" s="9"/>
      <c r="K1955" s="9"/>
      <c r="L1955" s="9"/>
      <c r="M1955" s="9"/>
    </row>
    <row r="1956">
      <c r="J1956" s="9"/>
      <c r="K1956" s="9"/>
      <c r="L1956" s="9"/>
      <c r="M1956" s="9"/>
    </row>
    <row r="1957">
      <c r="J1957" s="9"/>
      <c r="K1957" s="9"/>
      <c r="L1957" s="9"/>
      <c r="M1957" s="9"/>
    </row>
    <row r="1958">
      <c r="J1958" s="9"/>
      <c r="K1958" s="9"/>
      <c r="L1958" s="9"/>
      <c r="M1958" s="9"/>
    </row>
    <row r="1959">
      <c r="J1959" s="9"/>
      <c r="K1959" s="9"/>
      <c r="L1959" s="9"/>
      <c r="M1959" s="9"/>
    </row>
    <row r="1960">
      <c r="J1960" s="9"/>
      <c r="K1960" s="9"/>
      <c r="L1960" s="9"/>
      <c r="M1960" s="9"/>
    </row>
    <row r="1961">
      <c r="J1961" s="9"/>
      <c r="K1961" s="9"/>
      <c r="L1961" s="9"/>
      <c r="M1961" s="9"/>
    </row>
    <row r="1962">
      <c r="J1962" s="9"/>
      <c r="K1962" s="9"/>
      <c r="L1962" s="9"/>
      <c r="M1962" s="9"/>
    </row>
    <row r="1963">
      <c r="J1963" s="9"/>
      <c r="K1963" s="9"/>
      <c r="L1963" s="9"/>
      <c r="M1963" s="9"/>
    </row>
    <row r="1964">
      <c r="J1964" s="9"/>
      <c r="K1964" s="9"/>
      <c r="L1964" s="9"/>
      <c r="M1964" s="9"/>
    </row>
    <row r="1965">
      <c r="J1965" s="9"/>
      <c r="K1965" s="9"/>
      <c r="L1965" s="9"/>
      <c r="M1965" s="9"/>
    </row>
    <row r="1966">
      <c r="J1966" s="9"/>
      <c r="K1966" s="9"/>
      <c r="L1966" s="9"/>
      <c r="M1966" s="9"/>
    </row>
    <row r="1967">
      <c r="J1967" s="9"/>
      <c r="K1967" s="9"/>
      <c r="L1967" s="9"/>
      <c r="M1967" s="9"/>
    </row>
    <row r="1968">
      <c r="J1968" s="9"/>
      <c r="K1968" s="9"/>
      <c r="L1968" s="9"/>
      <c r="M1968" s="9"/>
    </row>
    <row r="1969">
      <c r="J1969" s="9"/>
      <c r="K1969" s="9"/>
      <c r="L1969" s="9"/>
      <c r="M1969" s="9"/>
    </row>
    <row r="1970">
      <c r="J1970" s="9"/>
      <c r="K1970" s="9"/>
      <c r="L1970" s="9"/>
      <c r="M1970" s="9"/>
    </row>
    <row r="1971">
      <c r="J1971" s="9"/>
      <c r="K1971" s="9"/>
      <c r="L1971" s="9"/>
      <c r="M1971" s="9"/>
    </row>
    <row r="1972">
      <c r="J1972" s="9"/>
      <c r="K1972" s="9"/>
      <c r="L1972" s="9"/>
      <c r="M1972" s="9"/>
    </row>
    <row r="1973">
      <c r="J1973" s="9"/>
      <c r="K1973" s="9"/>
      <c r="L1973" s="9"/>
      <c r="M1973" s="9"/>
    </row>
    <row r="1974">
      <c r="J1974" s="9"/>
      <c r="K1974" s="9"/>
      <c r="L1974" s="9"/>
      <c r="M1974" s="9"/>
    </row>
    <row r="1975">
      <c r="J1975" s="9"/>
      <c r="K1975" s="9"/>
      <c r="L1975" s="9"/>
      <c r="M1975" s="9"/>
    </row>
    <row r="1976">
      <c r="J1976" s="9"/>
      <c r="K1976" s="9"/>
      <c r="L1976" s="9"/>
      <c r="M1976" s="9"/>
    </row>
    <row r="1977">
      <c r="J1977" s="9"/>
      <c r="K1977" s="9"/>
      <c r="L1977" s="9"/>
      <c r="M1977" s="9"/>
    </row>
    <row r="1978">
      <c r="J1978" s="9"/>
      <c r="K1978" s="9"/>
      <c r="L1978" s="9"/>
      <c r="M1978" s="9"/>
    </row>
    <row r="1979">
      <c r="J1979" s="9"/>
      <c r="K1979" s="9"/>
      <c r="L1979" s="9"/>
      <c r="M1979" s="9"/>
    </row>
    <row r="1980">
      <c r="J1980" s="9"/>
      <c r="K1980" s="9"/>
      <c r="L1980" s="9"/>
      <c r="M1980" s="9"/>
    </row>
    <row r="1981">
      <c r="J1981" s="9"/>
      <c r="K1981" s="9"/>
      <c r="L1981" s="9"/>
      <c r="M1981" s="9"/>
    </row>
    <row r="1982">
      <c r="J1982" s="9"/>
      <c r="K1982" s="9"/>
      <c r="L1982" s="9"/>
      <c r="M1982" s="9"/>
    </row>
    <row r="1983">
      <c r="J1983" s="9"/>
      <c r="K1983" s="9"/>
      <c r="L1983" s="9"/>
      <c r="M1983" s="9"/>
    </row>
    <row r="1984">
      <c r="J1984" s="9"/>
      <c r="K1984" s="9"/>
      <c r="L1984" s="9"/>
      <c r="M1984" s="9"/>
    </row>
    <row r="1985">
      <c r="J1985" s="9"/>
      <c r="K1985" s="9"/>
      <c r="L1985" s="9"/>
      <c r="M1985" s="9"/>
    </row>
    <row r="1986">
      <c r="J1986" s="9"/>
      <c r="K1986" s="9"/>
      <c r="L1986" s="9"/>
      <c r="M1986" s="9"/>
    </row>
    <row r="1987">
      <c r="J1987" s="9"/>
      <c r="K1987" s="9"/>
      <c r="L1987" s="9"/>
      <c r="M1987" s="9"/>
    </row>
    <row r="1988">
      <c r="J1988" s="9"/>
      <c r="K1988" s="9"/>
      <c r="L1988" s="9"/>
      <c r="M1988" s="9"/>
    </row>
    <row r="1989">
      <c r="J1989" s="9"/>
      <c r="K1989" s="9"/>
      <c r="L1989" s="9"/>
      <c r="M1989" s="9"/>
    </row>
    <row r="1990">
      <c r="J1990" s="9"/>
      <c r="K1990" s="9"/>
      <c r="L1990" s="9"/>
      <c r="M1990" s="9"/>
    </row>
    <row r="1991">
      <c r="J1991" s="9"/>
      <c r="K1991" s="9"/>
      <c r="L1991" s="9"/>
      <c r="M1991" s="9"/>
    </row>
    <row r="1992">
      <c r="J1992" s="9"/>
      <c r="K1992" s="9"/>
      <c r="L1992" s="9"/>
      <c r="M1992" s="9"/>
    </row>
    <row r="1993">
      <c r="J1993" s="9"/>
      <c r="K1993" s="9"/>
      <c r="L1993" s="9"/>
      <c r="M1993" s="9"/>
    </row>
    <row r="1994">
      <c r="J1994" s="9"/>
      <c r="K1994" s="9"/>
      <c r="L1994" s="9"/>
      <c r="M1994" s="9"/>
    </row>
    <row r="1995">
      <c r="J1995" s="9"/>
      <c r="K1995" s="9"/>
      <c r="L1995" s="9"/>
      <c r="M1995" s="9"/>
    </row>
    <row r="1996">
      <c r="J1996" s="9"/>
      <c r="K1996" s="9"/>
      <c r="L1996" s="9"/>
      <c r="M1996" s="9"/>
    </row>
    <row r="1997">
      <c r="J1997" s="9"/>
      <c r="K1997" s="9"/>
      <c r="L1997" s="9"/>
      <c r="M1997" s="9"/>
    </row>
    <row r="1998">
      <c r="J1998" s="9"/>
      <c r="K1998" s="9"/>
      <c r="L1998" s="9"/>
      <c r="M1998" s="9"/>
    </row>
    <row r="1999">
      <c r="J1999" s="9"/>
      <c r="K1999" s="9"/>
      <c r="L1999" s="9"/>
      <c r="M1999" s="9"/>
    </row>
    <row r="2000">
      <c r="J2000" s="9"/>
      <c r="K2000" s="9"/>
      <c r="L2000" s="9"/>
      <c r="M2000" s="9"/>
    </row>
    <row r="2001">
      <c r="J2001" s="9"/>
      <c r="K2001" s="9"/>
      <c r="L2001" s="9"/>
      <c r="M2001" s="9"/>
    </row>
    <row r="2002">
      <c r="J2002" s="9"/>
      <c r="K2002" s="9"/>
      <c r="L2002" s="9"/>
      <c r="M2002" s="9"/>
    </row>
    <row r="2003">
      <c r="J2003" s="9"/>
      <c r="K2003" s="9"/>
      <c r="L2003" s="9"/>
      <c r="M2003" s="9"/>
    </row>
    <row r="2004">
      <c r="J2004" s="9"/>
      <c r="K2004" s="9"/>
      <c r="L2004" s="9"/>
      <c r="M2004" s="9"/>
    </row>
    <row r="2005">
      <c r="J2005" s="9"/>
      <c r="K2005" s="9"/>
      <c r="L2005" s="9"/>
      <c r="M2005" s="9"/>
    </row>
    <row r="2006">
      <c r="J2006" s="9"/>
      <c r="K2006" s="9"/>
      <c r="L2006" s="9"/>
      <c r="M2006" s="9"/>
    </row>
    <row r="2007">
      <c r="J2007" s="9"/>
      <c r="K2007" s="9"/>
      <c r="L2007" s="9"/>
      <c r="M2007" s="9"/>
    </row>
    <row r="2008">
      <c r="J2008" s="9"/>
      <c r="K2008" s="9"/>
      <c r="L2008" s="9"/>
      <c r="M2008" s="9"/>
    </row>
    <row r="2009">
      <c r="J2009" s="9"/>
      <c r="K2009" s="9"/>
      <c r="L2009" s="9"/>
      <c r="M2009" s="9"/>
    </row>
    <row r="2010">
      <c r="J2010" s="9"/>
      <c r="K2010" s="9"/>
      <c r="L2010" s="9"/>
      <c r="M2010" s="9"/>
    </row>
    <row r="2011">
      <c r="J2011" s="9"/>
      <c r="K2011" s="9"/>
      <c r="L2011" s="9"/>
      <c r="M2011" s="9"/>
    </row>
    <row r="2012">
      <c r="J2012" s="9"/>
      <c r="K2012" s="9"/>
      <c r="L2012" s="9"/>
      <c r="M2012" s="9"/>
    </row>
    <row r="2013">
      <c r="J2013" s="9"/>
      <c r="K2013" s="9"/>
      <c r="L2013" s="9"/>
      <c r="M2013" s="9"/>
    </row>
    <row r="2014">
      <c r="J2014" s="9"/>
      <c r="K2014" s="9"/>
      <c r="L2014" s="9"/>
      <c r="M2014" s="9"/>
    </row>
    <row r="2015">
      <c r="J2015" s="9"/>
      <c r="K2015" s="9"/>
      <c r="L2015" s="9"/>
      <c r="M2015" s="9"/>
    </row>
    <row r="2016">
      <c r="J2016" s="9"/>
      <c r="K2016" s="9"/>
      <c r="L2016" s="9"/>
      <c r="M2016" s="9"/>
    </row>
    <row r="2017">
      <c r="J2017" s="9"/>
      <c r="K2017" s="9"/>
      <c r="L2017" s="9"/>
      <c r="M2017" s="9"/>
    </row>
    <row r="2018">
      <c r="J2018" s="9"/>
      <c r="K2018" s="9"/>
      <c r="L2018" s="9"/>
      <c r="M2018" s="9"/>
    </row>
    <row r="2019">
      <c r="J2019" s="9"/>
      <c r="K2019" s="9"/>
      <c r="L2019" s="9"/>
      <c r="M2019" s="9"/>
    </row>
    <row r="2020">
      <c r="J2020" s="9"/>
      <c r="K2020" s="9"/>
      <c r="L2020" s="9"/>
      <c r="M2020" s="9"/>
    </row>
    <row r="2021">
      <c r="J2021" s="9"/>
      <c r="K2021" s="9"/>
      <c r="L2021" s="9"/>
      <c r="M2021" s="9"/>
    </row>
    <row r="2022">
      <c r="J2022" s="9"/>
      <c r="K2022" s="9"/>
      <c r="L2022" s="9"/>
      <c r="M2022" s="9"/>
    </row>
    <row r="2023">
      <c r="J2023" s="9"/>
      <c r="K2023" s="9"/>
      <c r="L2023" s="9"/>
      <c r="M2023" s="9"/>
    </row>
    <row r="2024">
      <c r="J2024" s="9"/>
      <c r="K2024" s="9"/>
      <c r="L2024" s="9"/>
      <c r="M2024" s="9"/>
    </row>
    <row r="2025">
      <c r="J2025" s="9"/>
      <c r="K2025" s="9"/>
      <c r="L2025" s="9"/>
      <c r="M2025" s="9"/>
    </row>
    <row r="2026">
      <c r="J2026" s="9"/>
      <c r="K2026" s="9"/>
      <c r="L2026" s="9"/>
      <c r="M2026" s="9"/>
    </row>
    <row r="2027">
      <c r="J2027" s="9"/>
      <c r="K2027" s="9"/>
      <c r="L2027" s="9"/>
      <c r="M2027" s="9"/>
    </row>
    <row r="2028">
      <c r="J2028" s="9"/>
      <c r="K2028" s="9"/>
      <c r="L2028" s="9"/>
      <c r="M2028" s="9"/>
    </row>
    <row r="2029">
      <c r="J2029" s="9"/>
      <c r="K2029" s="9"/>
      <c r="L2029" s="9"/>
      <c r="M2029" s="9"/>
    </row>
    <row r="2030">
      <c r="J2030" s="9"/>
      <c r="K2030" s="9"/>
      <c r="L2030" s="9"/>
      <c r="M2030" s="9"/>
    </row>
    <row r="2031">
      <c r="J2031" s="9"/>
      <c r="K2031" s="9"/>
      <c r="L2031" s="9"/>
      <c r="M2031" s="9"/>
    </row>
    <row r="2032">
      <c r="J2032" s="9"/>
      <c r="K2032" s="9"/>
      <c r="L2032" s="9"/>
      <c r="M2032" s="9"/>
    </row>
    <row r="2033">
      <c r="J2033" s="9"/>
      <c r="K2033" s="9"/>
      <c r="L2033" s="9"/>
      <c r="M2033" s="9"/>
    </row>
    <row r="2034">
      <c r="J2034" s="9"/>
      <c r="K2034" s="9"/>
      <c r="L2034" s="9"/>
      <c r="M2034" s="9"/>
    </row>
    <row r="2035">
      <c r="J2035" s="9"/>
      <c r="K2035" s="9"/>
      <c r="L2035" s="9"/>
      <c r="M2035" s="9"/>
    </row>
    <row r="2036">
      <c r="J2036" s="9"/>
      <c r="K2036" s="9"/>
      <c r="L2036" s="9"/>
      <c r="M2036" s="9"/>
    </row>
    <row r="2037">
      <c r="J2037" s="9"/>
      <c r="K2037" s="9"/>
      <c r="L2037" s="9"/>
      <c r="M2037" s="9"/>
    </row>
    <row r="2038">
      <c r="J2038" s="9"/>
      <c r="K2038" s="9"/>
      <c r="L2038" s="9"/>
      <c r="M2038" s="9"/>
    </row>
    <row r="2039">
      <c r="J2039" s="9"/>
      <c r="K2039" s="9"/>
      <c r="L2039" s="9"/>
      <c r="M2039" s="9"/>
    </row>
    <row r="2040">
      <c r="J2040" s="9"/>
      <c r="K2040" s="9"/>
      <c r="L2040" s="9"/>
      <c r="M2040" s="9"/>
    </row>
    <row r="2041">
      <c r="J2041" s="9"/>
      <c r="K2041" s="9"/>
      <c r="L2041" s="9"/>
      <c r="M2041" s="9"/>
    </row>
    <row r="2042">
      <c r="J2042" s="9"/>
      <c r="K2042" s="9"/>
      <c r="L2042" s="9"/>
      <c r="M2042" s="9"/>
    </row>
    <row r="2043">
      <c r="J2043" s="9"/>
      <c r="K2043" s="9"/>
      <c r="L2043" s="9"/>
      <c r="M2043" s="9"/>
    </row>
    <row r="2044">
      <c r="J2044" s="9"/>
      <c r="K2044" s="9"/>
      <c r="L2044" s="9"/>
      <c r="M2044" s="9"/>
    </row>
    <row r="2045">
      <c r="J2045" s="9"/>
      <c r="K2045" s="9"/>
      <c r="L2045" s="9"/>
      <c r="M2045" s="9"/>
    </row>
    <row r="2046">
      <c r="J2046" s="9"/>
      <c r="K2046" s="9"/>
      <c r="L2046" s="9"/>
      <c r="M2046" s="9"/>
    </row>
    <row r="2047">
      <c r="J2047" s="9"/>
      <c r="K2047" s="9"/>
      <c r="L2047" s="9"/>
      <c r="M2047" s="9"/>
    </row>
    <row r="2048">
      <c r="J2048" s="9"/>
      <c r="K2048" s="9"/>
      <c r="L2048" s="9"/>
      <c r="M2048" s="9"/>
    </row>
    <row r="2049">
      <c r="J2049" s="9"/>
      <c r="K2049" s="9"/>
      <c r="L2049" s="9"/>
      <c r="M2049" s="9"/>
    </row>
    <row r="2050">
      <c r="J2050" s="9"/>
      <c r="K2050" s="9"/>
      <c r="L2050" s="9"/>
      <c r="M2050" s="9"/>
    </row>
    <row r="2051">
      <c r="J2051" s="9"/>
      <c r="K2051" s="9"/>
      <c r="L2051" s="9"/>
      <c r="M2051" s="9"/>
    </row>
    <row r="2052">
      <c r="J2052" s="9"/>
      <c r="K2052" s="9"/>
      <c r="L2052" s="9"/>
      <c r="M2052" s="9"/>
    </row>
    <row r="2053">
      <c r="J2053" s="9"/>
      <c r="K2053" s="9"/>
      <c r="L2053" s="9"/>
      <c r="M2053" s="9"/>
    </row>
    <row r="2054">
      <c r="J2054" s="9"/>
      <c r="K2054" s="9"/>
      <c r="L2054" s="9"/>
      <c r="M2054" s="9"/>
    </row>
    <row r="2055">
      <c r="J2055" s="9"/>
      <c r="K2055" s="9"/>
      <c r="L2055" s="9"/>
      <c r="M2055" s="9"/>
    </row>
    <row r="2056">
      <c r="J2056" s="9"/>
      <c r="K2056" s="9"/>
      <c r="L2056" s="9"/>
      <c r="M2056" s="9"/>
    </row>
    <row r="2057">
      <c r="J2057" s="9"/>
      <c r="K2057" s="9"/>
      <c r="L2057" s="9"/>
      <c r="M2057" s="9"/>
    </row>
    <row r="2058">
      <c r="J2058" s="9"/>
      <c r="K2058" s="9"/>
      <c r="L2058" s="9"/>
      <c r="M2058" s="9"/>
    </row>
    <row r="2059">
      <c r="J2059" s="9"/>
      <c r="K2059" s="9"/>
      <c r="L2059" s="9"/>
      <c r="M2059" s="9"/>
    </row>
    <row r="2060">
      <c r="J2060" s="9"/>
      <c r="K2060" s="9"/>
      <c r="L2060" s="9"/>
      <c r="M2060" s="9"/>
    </row>
    <row r="2061">
      <c r="J2061" s="9"/>
      <c r="K2061" s="9"/>
      <c r="L2061" s="9"/>
      <c r="M2061" s="9"/>
    </row>
    <row r="2062">
      <c r="J2062" s="9"/>
      <c r="K2062" s="9"/>
      <c r="L2062" s="9"/>
      <c r="M2062" s="9"/>
    </row>
    <row r="2063">
      <c r="J2063" s="9"/>
      <c r="K2063" s="9"/>
      <c r="L2063" s="9"/>
      <c r="M2063" s="9"/>
    </row>
    <row r="2064">
      <c r="J2064" s="9"/>
      <c r="K2064" s="9"/>
      <c r="L2064" s="9"/>
      <c r="M2064" s="9"/>
    </row>
    <row r="2065">
      <c r="J2065" s="9"/>
      <c r="K2065" s="9"/>
      <c r="L2065" s="9"/>
      <c r="M2065" s="9"/>
    </row>
    <row r="2066">
      <c r="J2066" s="9"/>
      <c r="K2066" s="9"/>
      <c r="L2066" s="9"/>
      <c r="M2066" s="9"/>
    </row>
    <row r="2067">
      <c r="J2067" s="9"/>
      <c r="K2067" s="9"/>
      <c r="L2067" s="9"/>
      <c r="M2067" s="9"/>
    </row>
    <row r="2068">
      <c r="J2068" s="9"/>
      <c r="K2068" s="9"/>
      <c r="L2068" s="9"/>
      <c r="M2068" s="9"/>
    </row>
    <row r="2069">
      <c r="J2069" s="9"/>
      <c r="K2069" s="9"/>
      <c r="L2069" s="9"/>
      <c r="M2069" s="9"/>
    </row>
    <row r="2070">
      <c r="J2070" s="9"/>
      <c r="K2070" s="9"/>
      <c r="L2070" s="9"/>
      <c r="M2070" s="9"/>
    </row>
    <row r="2071">
      <c r="J2071" s="9"/>
      <c r="K2071" s="9"/>
      <c r="L2071" s="9"/>
      <c r="M2071" s="9"/>
    </row>
    <row r="2072">
      <c r="J2072" s="9"/>
      <c r="K2072" s="9"/>
      <c r="L2072" s="9"/>
      <c r="M2072" s="9"/>
    </row>
    <row r="2073">
      <c r="J2073" s="9"/>
      <c r="K2073" s="9"/>
      <c r="L2073" s="9"/>
      <c r="M2073" s="9"/>
    </row>
    <row r="2074">
      <c r="J2074" s="9"/>
      <c r="K2074" s="9"/>
      <c r="L2074" s="9"/>
      <c r="M2074" s="9"/>
    </row>
    <row r="2075">
      <c r="J2075" s="9"/>
      <c r="K2075" s="9"/>
      <c r="L2075" s="9"/>
      <c r="M2075" s="9"/>
    </row>
    <row r="2076">
      <c r="J2076" s="9"/>
      <c r="K2076" s="9"/>
      <c r="L2076" s="9"/>
      <c r="M2076" s="9"/>
    </row>
    <row r="2077">
      <c r="J2077" s="9"/>
      <c r="K2077" s="9"/>
      <c r="L2077" s="9"/>
      <c r="M2077" s="9"/>
    </row>
    <row r="2078">
      <c r="J2078" s="9"/>
      <c r="K2078" s="9"/>
      <c r="L2078" s="9"/>
      <c r="M2078" s="9"/>
    </row>
    <row r="2079">
      <c r="J2079" s="9"/>
      <c r="K2079" s="9"/>
      <c r="L2079" s="9"/>
      <c r="M2079" s="9"/>
    </row>
    <row r="2080">
      <c r="J2080" s="9"/>
      <c r="K2080" s="9"/>
      <c r="L2080" s="9"/>
      <c r="M2080" s="9"/>
    </row>
    <row r="2081">
      <c r="J2081" s="9"/>
      <c r="K2081" s="9"/>
      <c r="L2081" s="9"/>
      <c r="M2081" s="9"/>
    </row>
    <row r="2082">
      <c r="J2082" s="9"/>
      <c r="K2082" s="9"/>
      <c r="L2082" s="9"/>
      <c r="M2082" s="9"/>
    </row>
    <row r="2083">
      <c r="J2083" s="9"/>
      <c r="K2083" s="9"/>
      <c r="L2083" s="9"/>
      <c r="M2083" s="9"/>
    </row>
    <row r="2084">
      <c r="J2084" s="9"/>
      <c r="K2084" s="9"/>
      <c r="L2084" s="9"/>
      <c r="M2084" s="9"/>
    </row>
    <row r="2085">
      <c r="J2085" s="9"/>
      <c r="K2085" s="9"/>
      <c r="L2085" s="9"/>
      <c r="M2085" s="9"/>
    </row>
    <row r="2086">
      <c r="J2086" s="9"/>
      <c r="K2086" s="9"/>
      <c r="L2086" s="9"/>
      <c r="M2086" s="9"/>
    </row>
    <row r="2087">
      <c r="J2087" s="9"/>
      <c r="K2087" s="9"/>
      <c r="L2087" s="9"/>
      <c r="M2087" s="9"/>
    </row>
    <row r="2088">
      <c r="J2088" s="9"/>
      <c r="K2088" s="9"/>
      <c r="L2088" s="9"/>
      <c r="M2088" s="9"/>
    </row>
    <row r="2089">
      <c r="J2089" s="9"/>
      <c r="K2089" s="9"/>
      <c r="L2089" s="9"/>
      <c r="M2089" s="9"/>
    </row>
    <row r="2090">
      <c r="J2090" s="9"/>
      <c r="K2090" s="9"/>
      <c r="L2090" s="9"/>
      <c r="M2090" s="9"/>
    </row>
    <row r="2091">
      <c r="J2091" s="9"/>
      <c r="K2091" s="9"/>
      <c r="L2091" s="9"/>
      <c r="M2091" s="9"/>
    </row>
    <row r="2092">
      <c r="J2092" s="9"/>
      <c r="K2092" s="9"/>
      <c r="L2092" s="9"/>
      <c r="M2092" s="9"/>
    </row>
    <row r="2093">
      <c r="J2093" s="9"/>
      <c r="K2093" s="9"/>
      <c r="L2093" s="9"/>
      <c r="M2093" s="9"/>
    </row>
    <row r="2094">
      <c r="J2094" s="9"/>
      <c r="K2094" s="9"/>
      <c r="L2094" s="9"/>
      <c r="M2094" s="9"/>
    </row>
    <row r="2095">
      <c r="J2095" s="9"/>
      <c r="K2095" s="9"/>
      <c r="L2095" s="9"/>
      <c r="M2095" s="9"/>
    </row>
    <row r="2096">
      <c r="J2096" s="9"/>
      <c r="K2096" s="9"/>
      <c r="L2096" s="9"/>
      <c r="M2096" s="9"/>
    </row>
    <row r="2097">
      <c r="J2097" s="9"/>
      <c r="K2097" s="9"/>
      <c r="L2097" s="9"/>
      <c r="M2097" s="9"/>
    </row>
    <row r="2098">
      <c r="J2098" s="9"/>
      <c r="K2098" s="9"/>
      <c r="L2098" s="9"/>
      <c r="M2098" s="9"/>
    </row>
    <row r="2099">
      <c r="J2099" s="9"/>
      <c r="K2099" s="9"/>
      <c r="L2099" s="9"/>
      <c r="M2099" s="9"/>
    </row>
    <row r="2100">
      <c r="J2100" s="9"/>
      <c r="K2100" s="9"/>
      <c r="L2100" s="9"/>
      <c r="M2100" s="9"/>
    </row>
    <row r="2101">
      <c r="J2101" s="9"/>
      <c r="K2101" s="9"/>
      <c r="L2101" s="9"/>
      <c r="M2101" s="9"/>
    </row>
    <row r="2102">
      <c r="J2102" s="9"/>
      <c r="K2102" s="9"/>
      <c r="L2102" s="9"/>
      <c r="M2102" s="9"/>
    </row>
    <row r="2103">
      <c r="J2103" s="9"/>
      <c r="K2103" s="9"/>
      <c r="L2103" s="9"/>
      <c r="M2103" s="9"/>
    </row>
    <row r="2104">
      <c r="J2104" s="9"/>
      <c r="K2104" s="9"/>
      <c r="L2104" s="9"/>
      <c r="M2104" s="9"/>
    </row>
    <row r="2105">
      <c r="J2105" s="9"/>
      <c r="K2105" s="9"/>
      <c r="L2105" s="9"/>
      <c r="M2105" s="9"/>
    </row>
    <row r="2106">
      <c r="J2106" s="9"/>
      <c r="K2106" s="9"/>
      <c r="L2106" s="9"/>
      <c r="M2106" s="9"/>
    </row>
    <row r="2107">
      <c r="J2107" s="9"/>
      <c r="K2107" s="9"/>
      <c r="L2107" s="9"/>
      <c r="M2107" s="9"/>
    </row>
    <row r="2108">
      <c r="J2108" s="9"/>
      <c r="K2108" s="9"/>
      <c r="L2108" s="9"/>
      <c r="M2108" s="9"/>
    </row>
    <row r="2109">
      <c r="J2109" s="9"/>
      <c r="K2109" s="9"/>
      <c r="L2109" s="9"/>
      <c r="M2109" s="9"/>
    </row>
    <row r="2110">
      <c r="J2110" s="9"/>
      <c r="K2110" s="9"/>
      <c r="L2110" s="9"/>
      <c r="M2110" s="9"/>
    </row>
    <row r="2111">
      <c r="J2111" s="9"/>
      <c r="K2111" s="9"/>
      <c r="L2111" s="9"/>
      <c r="M2111" s="9"/>
    </row>
    <row r="2112">
      <c r="J2112" s="9"/>
      <c r="K2112" s="9"/>
      <c r="L2112" s="9"/>
      <c r="M2112" s="9"/>
    </row>
    <row r="2113">
      <c r="J2113" s="9"/>
      <c r="K2113" s="9"/>
      <c r="L2113" s="9"/>
      <c r="M2113" s="9"/>
    </row>
    <row r="2114">
      <c r="J2114" s="9"/>
      <c r="K2114" s="9"/>
      <c r="L2114" s="9"/>
      <c r="M2114" s="9"/>
    </row>
    <row r="2115">
      <c r="J2115" s="9"/>
      <c r="K2115" s="9"/>
      <c r="L2115" s="9"/>
      <c r="M2115" s="9"/>
    </row>
    <row r="2116">
      <c r="J2116" s="9"/>
      <c r="K2116" s="9"/>
      <c r="L2116" s="9"/>
      <c r="M2116" s="9"/>
    </row>
    <row r="2117">
      <c r="J2117" s="9"/>
      <c r="K2117" s="9"/>
      <c r="L2117" s="9"/>
      <c r="M2117" s="9"/>
    </row>
    <row r="2118">
      <c r="J2118" s="9"/>
      <c r="K2118" s="9"/>
      <c r="L2118" s="9"/>
      <c r="M2118" s="9"/>
    </row>
    <row r="2119">
      <c r="J2119" s="9"/>
      <c r="K2119" s="9"/>
      <c r="L2119" s="9"/>
      <c r="M2119" s="9"/>
    </row>
    <row r="2120">
      <c r="J2120" s="9"/>
      <c r="K2120" s="9"/>
      <c r="L2120" s="9"/>
      <c r="M2120" s="9"/>
    </row>
    <row r="2121">
      <c r="J2121" s="9"/>
      <c r="K2121" s="9"/>
      <c r="L2121" s="9"/>
      <c r="M2121" s="9"/>
    </row>
    <row r="2122">
      <c r="J2122" s="9"/>
      <c r="K2122" s="9"/>
      <c r="L2122" s="9"/>
      <c r="M2122" s="9"/>
    </row>
    <row r="2123">
      <c r="J2123" s="9"/>
      <c r="K2123" s="9"/>
      <c r="L2123" s="9"/>
      <c r="M2123" s="9"/>
    </row>
    <row r="2124">
      <c r="J2124" s="9"/>
      <c r="K2124" s="9"/>
      <c r="L2124" s="9"/>
      <c r="M2124" s="9"/>
    </row>
    <row r="2125">
      <c r="J2125" s="9"/>
      <c r="K2125" s="9"/>
      <c r="L2125" s="9"/>
      <c r="M2125" s="9"/>
    </row>
    <row r="2126">
      <c r="J2126" s="9"/>
      <c r="K2126" s="9"/>
      <c r="L2126" s="9"/>
      <c r="M2126" s="9"/>
    </row>
    <row r="2127">
      <c r="J2127" s="9"/>
      <c r="K2127" s="9"/>
      <c r="L2127" s="9"/>
      <c r="M2127" s="9"/>
    </row>
    <row r="2128">
      <c r="J2128" s="9"/>
      <c r="K2128" s="9"/>
      <c r="L2128" s="9"/>
      <c r="M2128" s="9"/>
    </row>
    <row r="2129">
      <c r="J2129" s="9"/>
      <c r="K2129" s="9"/>
      <c r="L2129" s="9"/>
      <c r="M2129" s="9"/>
    </row>
    <row r="2130">
      <c r="J2130" s="9"/>
      <c r="K2130" s="9"/>
      <c r="L2130" s="9"/>
      <c r="M2130" s="9"/>
    </row>
    <row r="2131">
      <c r="J2131" s="9"/>
      <c r="K2131" s="9"/>
      <c r="L2131" s="9"/>
      <c r="M2131" s="9"/>
    </row>
    <row r="2132">
      <c r="J2132" s="9"/>
      <c r="K2132" s="9"/>
      <c r="L2132" s="9"/>
      <c r="M2132" s="9"/>
    </row>
    <row r="2133">
      <c r="J2133" s="9"/>
      <c r="K2133" s="9"/>
      <c r="L2133" s="9"/>
      <c r="M2133" s="9"/>
    </row>
    <row r="2134">
      <c r="J2134" s="9"/>
      <c r="K2134" s="9"/>
      <c r="L2134" s="9"/>
      <c r="M2134" s="9"/>
    </row>
    <row r="2135">
      <c r="J2135" s="9"/>
      <c r="K2135" s="9"/>
      <c r="L2135" s="9"/>
      <c r="M2135" s="9"/>
    </row>
    <row r="2136">
      <c r="J2136" s="9"/>
      <c r="K2136" s="9"/>
      <c r="L2136" s="9"/>
      <c r="M2136" s="9"/>
    </row>
    <row r="2137">
      <c r="J2137" s="9"/>
      <c r="K2137" s="9"/>
      <c r="L2137" s="9"/>
      <c r="M2137" s="9"/>
    </row>
    <row r="2138">
      <c r="J2138" s="9"/>
      <c r="K2138" s="9"/>
      <c r="L2138" s="9"/>
      <c r="M2138" s="9"/>
    </row>
    <row r="2139">
      <c r="J2139" s="9"/>
      <c r="K2139" s="9"/>
      <c r="L2139" s="9"/>
      <c r="M2139" s="9"/>
    </row>
    <row r="2140">
      <c r="J2140" s="9"/>
      <c r="K2140" s="9"/>
      <c r="L2140" s="9"/>
      <c r="M2140" s="9"/>
    </row>
    <row r="2141">
      <c r="J2141" s="9"/>
      <c r="K2141" s="9"/>
      <c r="L2141" s="9"/>
      <c r="M2141" s="9"/>
    </row>
    <row r="2142">
      <c r="J2142" s="9"/>
      <c r="K2142" s="9"/>
      <c r="L2142" s="9"/>
      <c r="M2142" s="9"/>
    </row>
    <row r="2143">
      <c r="J2143" s="9"/>
      <c r="K2143" s="9"/>
      <c r="L2143" s="9"/>
      <c r="M2143" s="9"/>
    </row>
    <row r="2144">
      <c r="J2144" s="9"/>
      <c r="K2144" s="9"/>
      <c r="L2144" s="9"/>
      <c r="M2144" s="9"/>
    </row>
    <row r="2145">
      <c r="J2145" s="9"/>
      <c r="K2145" s="9"/>
      <c r="L2145" s="9"/>
      <c r="M2145" s="9"/>
    </row>
    <row r="2146">
      <c r="J2146" s="9"/>
      <c r="K2146" s="9"/>
      <c r="L2146" s="9"/>
      <c r="M2146" s="9"/>
    </row>
    <row r="2147">
      <c r="J2147" s="9"/>
      <c r="K2147" s="9"/>
      <c r="L2147" s="9"/>
      <c r="M2147" s="9"/>
    </row>
    <row r="2148">
      <c r="J2148" s="9"/>
      <c r="K2148" s="9"/>
      <c r="L2148" s="9"/>
      <c r="M2148" s="9"/>
    </row>
    <row r="2149">
      <c r="J2149" s="9"/>
      <c r="K2149" s="9"/>
      <c r="L2149" s="9"/>
      <c r="M2149" s="9"/>
    </row>
    <row r="2150">
      <c r="J2150" s="9"/>
      <c r="K2150" s="9"/>
      <c r="L2150" s="9"/>
      <c r="M2150" s="9"/>
    </row>
    <row r="2151">
      <c r="J2151" s="9"/>
      <c r="K2151" s="9"/>
      <c r="L2151" s="9"/>
      <c r="M2151" s="9"/>
    </row>
    <row r="2152">
      <c r="J2152" s="9"/>
      <c r="K2152" s="9"/>
      <c r="L2152" s="9"/>
      <c r="M2152" s="9"/>
    </row>
    <row r="2153">
      <c r="J2153" s="9"/>
      <c r="K2153" s="9"/>
      <c r="L2153" s="9"/>
      <c r="M2153" s="9"/>
    </row>
    <row r="2154">
      <c r="J2154" s="9"/>
      <c r="K2154" s="9"/>
      <c r="L2154" s="9"/>
      <c r="M2154" s="9"/>
    </row>
    <row r="2155">
      <c r="J2155" s="9"/>
      <c r="K2155" s="9"/>
      <c r="L2155" s="9"/>
      <c r="M2155" s="9"/>
    </row>
    <row r="2156">
      <c r="J2156" s="9"/>
      <c r="K2156" s="9"/>
      <c r="L2156" s="9"/>
      <c r="M2156" s="9"/>
    </row>
    <row r="2157">
      <c r="J2157" s="9"/>
      <c r="K2157" s="9"/>
      <c r="L2157" s="9"/>
      <c r="M2157" s="9"/>
    </row>
    <row r="2158">
      <c r="J2158" s="9"/>
      <c r="K2158" s="9"/>
      <c r="L2158" s="9"/>
      <c r="M2158" s="9"/>
    </row>
    <row r="2159">
      <c r="J2159" s="9"/>
      <c r="K2159" s="9"/>
      <c r="L2159" s="9"/>
      <c r="M2159" s="9"/>
    </row>
    <row r="2160">
      <c r="J2160" s="9"/>
      <c r="K2160" s="9"/>
      <c r="L2160" s="9"/>
      <c r="M2160" s="9"/>
    </row>
    <row r="2161">
      <c r="J2161" s="9"/>
      <c r="K2161" s="9"/>
      <c r="L2161" s="9"/>
      <c r="M2161" s="9"/>
    </row>
    <row r="2162">
      <c r="J2162" s="9"/>
      <c r="K2162" s="9"/>
      <c r="L2162" s="9"/>
      <c r="M2162" s="9"/>
    </row>
    <row r="2163">
      <c r="J2163" s="9"/>
      <c r="K2163" s="9"/>
      <c r="L2163" s="9"/>
      <c r="M2163" s="9"/>
    </row>
    <row r="2164">
      <c r="J2164" s="9"/>
      <c r="K2164" s="9"/>
      <c r="L2164" s="9"/>
      <c r="M2164" s="9"/>
    </row>
    <row r="2165">
      <c r="J2165" s="9"/>
      <c r="K2165" s="9"/>
      <c r="L2165" s="9"/>
      <c r="M2165" s="9"/>
    </row>
    <row r="2166">
      <c r="J2166" s="9"/>
      <c r="K2166" s="9"/>
      <c r="L2166" s="9"/>
      <c r="M2166" s="9"/>
    </row>
    <row r="2167">
      <c r="J2167" s="9"/>
      <c r="K2167" s="9"/>
      <c r="L2167" s="9"/>
      <c r="M2167" s="9"/>
    </row>
    <row r="2168">
      <c r="J2168" s="9"/>
      <c r="K2168" s="9"/>
      <c r="L2168" s="9"/>
      <c r="M2168" s="9"/>
    </row>
    <row r="2169">
      <c r="J2169" s="9"/>
      <c r="K2169" s="9"/>
      <c r="L2169" s="9"/>
      <c r="M2169" s="9"/>
    </row>
    <row r="2170">
      <c r="J2170" s="9"/>
      <c r="K2170" s="9"/>
      <c r="L2170" s="9"/>
      <c r="M2170" s="9"/>
    </row>
    <row r="2171">
      <c r="J2171" s="9"/>
      <c r="K2171" s="9"/>
      <c r="L2171" s="9"/>
      <c r="M2171" s="9"/>
    </row>
    <row r="2172">
      <c r="J2172" s="9"/>
      <c r="K2172" s="9"/>
      <c r="L2172" s="9"/>
      <c r="M2172" s="9"/>
    </row>
    <row r="2173">
      <c r="J2173" s="9"/>
      <c r="K2173" s="9"/>
      <c r="L2173" s="9"/>
      <c r="M2173" s="9"/>
    </row>
    <row r="2174">
      <c r="J2174" s="9"/>
      <c r="K2174" s="9"/>
      <c r="L2174" s="9"/>
      <c r="M2174" s="9"/>
    </row>
    <row r="2175">
      <c r="J2175" s="9"/>
      <c r="K2175" s="9"/>
      <c r="L2175" s="9"/>
      <c r="M2175" s="9"/>
    </row>
    <row r="2176">
      <c r="J2176" s="9"/>
      <c r="K2176" s="9"/>
      <c r="L2176" s="9"/>
      <c r="M2176" s="9"/>
    </row>
    <row r="2177">
      <c r="J2177" s="9"/>
      <c r="K2177" s="9"/>
      <c r="L2177" s="9"/>
      <c r="M2177" s="9"/>
    </row>
    <row r="2178">
      <c r="J2178" s="9"/>
      <c r="K2178" s="9"/>
      <c r="L2178" s="9"/>
      <c r="M2178" s="9"/>
    </row>
    <row r="2179">
      <c r="J2179" s="9"/>
      <c r="K2179" s="9"/>
      <c r="L2179" s="9"/>
      <c r="M2179" s="9"/>
    </row>
    <row r="2180">
      <c r="J2180" s="9"/>
      <c r="K2180" s="9"/>
      <c r="L2180" s="9"/>
      <c r="M2180" s="9"/>
    </row>
    <row r="2181">
      <c r="J2181" s="9"/>
      <c r="K2181" s="9"/>
      <c r="L2181" s="9"/>
      <c r="M2181" s="9"/>
    </row>
    <row r="2182">
      <c r="J2182" s="9"/>
      <c r="K2182" s="9"/>
      <c r="L2182" s="9"/>
      <c r="M2182" s="9"/>
    </row>
    <row r="2183">
      <c r="J2183" s="9"/>
      <c r="K2183" s="9"/>
      <c r="L2183" s="9"/>
      <c r="M2183" s="9"/>
    </row>
    <row r="2184">
      <c r="J2184" s="9"/>
      <c r="K2184" s="9"/>
      <c r="L2184" s="9"/>
      <c r="M2184" s="9"/>
    </row>
    <row r="2185">
      <c r="J2185" s="9"/>
      <c r="K2185" s="9"/>
      <c r="L2185" s="9"/>
      <c r="M2185" s="9"/>
    </row>
    <row r="2186">
      <c r="J2186" s="9"/>
      <c r="K2186" s="9"/>
      <c r="L2186" s="9"/>
      <c r="M2186" s="9"/>
    </row>
    <row r="2187">
      <c r="J2187" s="9"/>
      <c r="K2187" s="9"/>
      <c r="L2187" s="9"/>
      <c r="M2187" s="9"/>
    </row>
    <row r="2188">
      <c r="J2188" s="9"/>
      <c r="K2188" s="9"/>
      <c r="L2188" s="9"/>
      <c r="M2188" s="9"/>
    </row>
    <row r="2189">
      <c r="J2189" s="9"/>
      <c r="K2189" s="9"/>
      <c r="L2189" s="9"/>
      <c r="M2189" s="9"/>
    </row>
    <row r="2190">
      <c r="J2190" s="9"/>
      <c r="K2190" s="9"/>
      <c r="L2190" s="9"/>
      <c r="M2190" s="9"/>
    </row>
    <row r="2191">
      <c r="J2191" s="9"/>
      <c r="K2191" s="9"/>
      <c r="L2191" s="9"/>
      <c r="M2191" s="9"/>
    </row>
    <row r="2192">
      <c r="J2192" s="9"/>
      <c r="K2192" s="9"/>
      <c r="L2192" s="9"/>
      <c r="M2192" s="9"/>
    </row>
    <row r="2193">
      <c r="J2193" s="9"/>
      <c r="K2193" s="9"/>
      <c r="L2193" s="9"/>
      <c r="M2193" s="9"/>
    </row>
    <row r="2194">
      <c r="J2194" s="9"/>
      <c r="K2194" s="9"/>
      <c r="L2194" s="9"/>
      <c r="M2194" s="9"/>
    </row>
    <row r="2195">
      <c r="J2195" s="9"/>
      <c r="K2195" s="9"/>
      <c r="L2195" s="9"/>
      <c r="M2195" s="9"/>
    </row>
    <row r="2196">
      <c r="J2196" s="9"/>
      <c r="K2196" s="9"/>
      <c r="L2196" s="9"/>
      <c r="M2196" s="9"/>
    </row>
    <row r="2197">
      <c r="J2197" s="9"/>
      <c r="K2197" s="9"/>
      <c r="L2197" s="9"/>
      <c r="M2197" s="9"/>
    </row>
    <row r="2198">
      <c r="J2198" s="9"/>
      <c r="K2198" s="9"/>
      <c r="L2198" s="9"/>
      <c r="M2198" s="9"/>
    </row>
    <row r="2199">
      <c r="J2199" s="9"/>
      <c r="K2199" s="9"/>
      <c r="L2199" s="9"/>
      <c r="M2199" s="9"/>
    </row>
    <row r="2200">
      <c r="J2200" s="9"/>
      <c r="K2200" s="9"/>
      <c r="L2200" s="9"/>
      <c r="M2200" s="9"/>
    </row>
    <row r="2201">
      <c r="J2201" s="9"/>
      <c r="K2201" s="9"/>
      <c r="L2201" s="9"/>
      <c r="M2201" s="9"/>
    </row>
    <row r="2202">
      <c r="J2202" s="9"/>
      <c r="K2202" s="9"/>
      <c r="L2202" s="9"/>
      <c r="M2202" s="9"/>
    </row>
    <row r="2203">
      <c r="J2203" s="9"/>
      <c r="K2203" s="9"/>
      <c r="L2203" s="9"/>
      <c r="M2203" s="9"/>
    </row>
    <row r="2204">
      <c r="J2204" s="9"/>
      <c r="K2204" s="9"/>
      <c r="L2204" s="9"/>
      <c r="M2204" s="9"/>
    </row>
    <row r="2205">
      <c r="J2205" s="9"/>
      <c r="K2205" s="9"/>
      <c r="L2205" s="9"/>
      <c r="M2205" s="9"/>
    </row>
    <row r="2206">
      <c r="J2206" s="9"/>
      <c r="K2206" s="9"/>
      <c r="L2206" s="9"/>
      <c r="M2206" s="9"/>
    </row>
    <row r="2207">
      <c r="J2207" s="9"/>
      <c r="K2207" s="9"/>
      <c r="L2207" s="9"/>
      <c r="M2207" s="9"/>
    </row>
    <row r="2208">
      <c r="J2208" s="9"/>
      <c r="K2208" s="9"/>
      <c r="L2208" s="9"/>
      <c r="M2208" s="9"/>
    </row>
    <row r="2209">
      <c r="J2209" s="9"/>
      <c r="K2209" s="9"/>
      <c r="L2209" s="9"/>
      <c r="M2209" s="9"/>
    </row>
    <row r="2210">
      <c r="J2210" s="9"/>
      <c r="K2210" s="9"/>
      <c r="L2210" s="9"/>
      <c r="M2210" s="9"/>
    </row>
    <row r="2211">
      <c r="J2211" s="9"/>
      <c r="K2211" s="9"/>
      <c r="L2211" s="9"/>
      <c r="M2211" s="9"/>
    </row>
    <row r="2212">
      <c r="J2212" s="9"/>
      <c r="K2212" s="9"/>
      <c r="L2212" s="9"/>
      <c r="M2212" s="9"/>
    </row>
    <row r="2213">
      <c r="J2213" s="9"/>
      <c r="K2213" s="9"/>
      <c r="L2213" s="9"/>
      <c r="M2213" s="9"/>
    </row>
    <row r="2214">
      <c r="J2214" s="9"/>
      <c r="K2214" s="9"/>
      <c r="L2214" s="9"/>
      <c r="M2214" s="9"/>
    </row>
    <row r="2215">
      <c r="J2215" s="9"/>
      <c r="K2215" s="9"/>
      <c r="L2215" s="9"/>
      <c r="M2215" s="9"/>
    </row>
    <row r="2216">
      <c r="J2216" s="9"/>
      <c r="K2216" s="9"/>
      <c r="L2216" s="9"/>
      <c r="M2216" s="9"/>
    </row>
    <row r="2217">
      <c r="J2217" s="9"/>
      <c r="K2217" s="9"/>
      <c r="L2217" s="9"/>
      <c r="M2217" s="9"/>
    </row>
    <row r="2218">
      <c r="J2218" s="9"/>
      <c r="K2218" s="9"/>
      <c r="L2218" s="9"/>
      <c r="M2218" s="9"/>
    </row>
    <row r="2219">
      <c r="J2219" s="9"/>
      <c r="K2219" s="9"/>
      <c r="L2219" s="9"/>
      <c r="M2219" s="9"/>
    </row>
    <row r="2220">
      <c r="J2220" s="9"/>
      <c r="K2220" s="9"/>
      <c r="L2220" s="9"/>
      <c r="M2220" s="9"/>
    </row>
    <row r="2221">
      <c r="J2221" s="9"/>
      <c r="K2221" s="9"/>
      <c r="L2221" s="9"/>
      <c r="M2221" s="9"/>
    </row>
    <row r="2222">
      <c r="J2222" s="9"/>
      <c r="K2222" s="9"/>
      <c r="L2222" s="9"/>
      <c r="M2222" s="9"/>
    </row>
    <row r="2223">
      <c r="J2223" s="9"/>
      <c r="K2223" s="9"/>
      <c r="L2223" s="9"/>
      <c r="M2223" s="9"/>
    </row>
    <row r="2224">
      <c r="J2224" s="9"/>
      <c r="K2224" s="9"/>
      <c r="L2224" s="9"/>
      <c r="M2224" s="9"/>
    </row>
    <row r="2225">
      <c r="J2225" s="9"/>
      <c r="K2225" s="9"/>
      <c r="L2225" s="9"/>
      <c r="M2225" s="9"/>
    </row>
    <row r="2226">
      <c r="J2226" s="9"/>
      <c r="K2226" s="9"/>
      <c r="L2226" s="9"/>
      <c r="M2226" s="9"/>
    </row>
    <row r="2227">
      <c r="J2227" s="9"/>
      <c r="K2227" s="9"/>
      <c r="L2227" s="9"/>
      <c r="M2227" s="9"/>
    </row>
    <row r="2228">
      <c r="J2228" s="9"/>
      <c r="K2228" s="9"/>
      <c r="L2228" s="9"/>
      <c r="M2228" s="9"/>
    </row>
    <row r="2229">
      <c r="J2229" s="9"/>
      <c r="K2229" s="9"/>
      <c r="L2229" s="9"/>
      <c r="M2229" s="9"/>
    </row>
    <row r="2230">
      <c r="J2230" s="9"/>
      <c r="K2230" s="9"/>
      <c r="L2230" s="9"/>
      <c r="M2230" s="9"/>
    </row>
    <row r="2231">
      <c r="J2231" s="9"/>
      <c r="K2231" s="9"/>
      <c r="L2231" s="9"/>
      <c r="M2231" s="9"/>
    </row>
    <row r="2232">
      <c r="J2232" s="9"/>
      <c r="K2232" s="9"/>
      <c r="L2232" s="9"/>
      <c r="M2232" s="9"/>
    </row>
    <row r="2233">
      <c r="J2233" s="9"/>
      <c r="K2233" s="9"/>
      <c r="L2233" s="9"/>
      <c r="M2233" s="9"/>
    </row>
    <row r="2234">
      <c r="J2234" s="9"/>
      <c r="K2234" s="9"/>
      <c r="L2234" s="9"/>
      <c r="M2234" s="9"/>
    </row>
    <row r="2235">
      <c r="J2235" s="9"/>
      <c r="K2235" s="9"/>
      <c r="L2235" s="9"/>
      <c r="M2235" s="9"/>
    </row>
    <row r="2236">
      <c r="J2236" s="9"/>
      <c r="K2236" s="9"/>
      <c r="L2236" s="9"/>
      <c r="M2236" s="9"/>
    </row>
    <row r="2237">
      <c r="J2237" s="9"/>
      <c r="K2237" s="9"/>
      <c r="L2237" s="9"/>
      <c r="M2237" s="9"/>
    </row>
    <row r="2238">
      <c r="J2238" s="9"/>
      <c r="K2238" s="9"/>
      <c r="L2238" s="9"/>
      <c r="M2238" s="9"/>
    </row>
    <row r="2239">
      <c r="J2239" s="9"/>
      <c r="K2239" s="9"/>
      <c r="L2239" s="9"/>
      <c r="M2239" s="9"/>
    </row>
    <row r="2240">
      <c r="J2240" s="9"/>
      <c r="K2240" s="9"/>
      <c r="L2240" s="9"/>
      <c r="M2240" s="9"/>
    </row>
    <row r="2241">
      <c r="J2241" s="9"/>
      <c r="K2241" s="9"/>
      <c r="L2241" s="9"/>
      <c r="M2241" s="9"/>
    </row>
    <row r="2242">
      <c r="J2242" s="9"/>
      <c r="K2242" s="9"/>
      <c r="L2242" s="9"/>
      <c r="M2242" s="9"/>
    </row>
    <row r="2243">
      <c r="J2243" s="9"/>
      <c r="K2243" s="9"/>
      <c r="L2243" s="9"/>
      <c r="M2243" s="9"/>
    </row>
    <row r="2244">
      <c r="J2244" s="9"/>
      <c r="K2244" s="9"/>
      <c r="L2244" s="9"/>
      <c r="M2244" s="9"/>
    </row>
    <row r="2245">
      <c r="J2245" s="9"/>
      <c r="K2245" s="9"/>
      <c r="L2245" s="9"/>
      <c r="M2245" s="9"/>
    </row>
    <row r="2246">
      <c r="J2246" s="9"/>
      <c r="K2246" s="9"/>
      <c r="L2246" s="9"/>
      <c r="M2246" s="9"/>
    </row>
    <row r="2247">
      <c r="J2247" s="9"/>
      <c r="K2247" s="9"/>
      <c r="L2247" s="9"/>
      <c r="M2247" s="9"/>
    </row>
    <row r="2248">
      <c r="J2248" s="9"/>
      <c r="K2248" s="9"/>
      <c r="L2248" s="9"/>
      <c r="M2248" s="9"/>
    </row>
    <row r="2249">
      <c r="J2249" s="9"/>
      <c r="K2249" s="9"/>
      <c r="L2249" s="9"/>
      <c r="M2249" s="9"/>
    </row>
    <row r="2250">
      <c r="J2250" s="9"/>
      <c r="K2250" s="9"/>
      <c r="L2250" s="9"/>
      <c r="M2250" s="9"/>
    </row>
    <row r="2251">
      <c r="J2251" s="9"/>
      <c r="K2251" s="9"/>
      <c r="L2251" s="9"/>
      <c r="M2251" s="9"/>
    </row>
    <row r="2252">
      <c r="J2252" s="9"/>
      <c r="K2252" s="9"/>
      <c r="L2252" s="9"/>
      <c r="M2252" s="9"/>
    </row>
    <row r="2253">
      <c r="J2253" s="9"/>
      <c r="K2253" s="9"/>
      <c r="L2253" s="9"/>
      <c r="M2253" s="9"/>
    </row>
    <row r="2254">
      <c r="J2254" s="9"/>
      <c r="K2254" s="9"/>
      <c r="L2254" s="9"/>
      <c r="M2254" s="9"/>
    </row>
    <row r="2255">
      <c r="J2255" s="9"/>
      <c r="K2255" s="9"/>
      <c r="L2255" s="9"/>
      <c r="M2255" s="9"/>
    </row>
    <row r="2256">
      <c r="J2256" s="9"/>
      <c r="K2256" s="9"/>
      <c r="L2256" s="9"/>
      <c r="M2256" s="9"/>
    </row>
    <row r="2257">
      <c r="J2257" s="9"/>
      <c r="K2257" s="9"/>
      <c r="L2257" s="9"/>
      <c r="M2257" s="9"/>
    </row>
    <row r="2258">
      <c r="J2258" s="9"/>
      <c r="K2258" s="9"/>
      <c r="L2258" s="9"/>
      <c r="M2258" s="9"/>
    </row>
    <row r="2259">
      <c r="J2259" s="9"/>
      <c r="K2259" s="9"/>
      <c r="L2259" s="9"/>
      <c r="M2259" s="9"/>
    </row>
    <row r="2260">
      <c r="J2260" s="9"/>
      <c r="K2260" s="9"/>
      <c r="L2260" s="9"/>
      <c r="M2260" s="9"/>
    </row>
    <row r="2261">
      <c r="J2261" s="9"/>
      <c r="K2261" s="9"/>
      <c r="L2261" s="9"/>
      <c r="M2261" s="9"/>
    </row>
    <row r="2262">
      <c r="J2262" s="9"/>
      <c r="K2262" s="9"/>
      <c r="L2262" s="9"/>
      <c r="M2262" s="9"/>
    </row>
    <row r="2263">
      <c r="J2263" s="9"/>
      <c r="K2263" s="9"/>
      <c r="L2263" s="9"/>
      <c r="M2263" s="9"/>
    </row>
    <row r="2264">
      <c r="J2264" s="9"/>
      <c r="K2264" s="9"/>
      <c r="L2264" s="9"/>
      <c r="M2264" s="9"/>
    </row>
    <row r="2265">
      <c r="J2265" s="9"/>
      <c r="K2265" s="9"/>
      <c r="L2265" s="9"/>
      <c r="M2265" s="9"/>
    </row>
    <row r="2266">
      <c r="J2266" s="9"/>
      <c r="K2266" s="9"/>
      <c r="L2266" s="9"/>
      <c r="M2266" s="9"/>
    </row>
    <row r="2267">
      <c r="J2267" s="9"/>
      <c r="K2267" s="9"/>
      <c r="L2267" s="9"/>
      <c r="M2267" s="9"/>
    </row>
    <row r="2268">
      <c r="J2268" s="9"/>
      <c r="K2268" s="9"/>
      <c r="L2268" s="9"/>
      <c r="M2268" s="9"/>
    </row>
    <row r="2269">
      <c r="J2269" s="9"/>
      <c r="K2269" s="9"/>
      <c r="L2269" s="9"/>
      <c r="M2269" s="9"/>
    </row>
    <row r="2270">
      <c r="J2270" s="9"/>
      <c r="K2270" s="9"/>
      <c r="L2270" s="9"/>
      <c r="M2270" s="9"/>
    </row>
    <row r="2271">
      <c r="J2271" s="9"/>
      <c r="K2271" s="9"/>
      <c r="L2271" s="9"/>
      <c r="M2271" s="9"/>
    </row>
    <row r="2272">
      <c r="J2272" s="9"/>
      <c r="K2272" s="9"/>
      <c r="L2272" s="9"/>
      <c r="M2272" s="9"/>
    </row>
    <row r="2273">
      <c r="J2273" s="9"/>
      <c r="K2273" s="9"/>
      <c r="L2273" s="9"/>
      <c r="M2273" s="9"/>
    </row>
    <row r="2274">
      <c r="J2274" s="9"/>
      <c r="K2274" s="9"/>
      <c r="L2274" s="9"/>
      <c r="M2274" s="9"/>
    </row>
    <row r="2275">
      <c r="J2275" s="9"/>
      <c r="K2275" s="9"/>
      <c r="L2275" s="9"/>
      <c r="M2275" s="9"/>
    </row>
    <row r="2276">
      <c r="J2276" s="9"/>
      <c r="K2276" s="9"/>
      <c r="L2276" s="9"/>
      <c r="M2276" s="9"/>
    </row>
    <row r="2277">
      <c r="J2277" s="9"/>
      <c r="K2277" s="9"/>
      <c r="L2277" s="9"/>
      <c r="M2277" s="9"/>
    </row>
    <row r="2278">
      <c r="J2278" s="9"/>
      <c r="K2278" s="9"/>
      <c r="L2278" s="9"/>
      <c r="M2278" s="9"/>
    </row>
    <row r="2279">
      <c r="J2279" s="9"/>
      <c r="K2279" s="9"/>
      <c r="L2279" s="9"/>
      <c r="M2279" s="9"/>
    </row>
    <row r="2280">
      <c r="J2280" s="9"/>
      <c r="K2280" s="9"/>
      <c r="L2280" s="9"/>
      <c r="M2280" s="9"/>
    </row>
    <row r="2281">
      <c r="J2281" s="9"/>
      <c r="K2281" s="9"/>
      <c r="L2281" s="9"/>
      <c r="M2281" s="9"/>
    </row>
    <row r="2282">
      <c r="J2282" s="9"/>
      <c r="K2282" s="9"/>
      <c r="L2282" s="9"/>
      <c r="M2282" s="9"/>
    </row>
    <row r="2283">
      <c r="J2283" s="9"/>
      <c r="K2283" s="9"/>
      <c r="L2283" s="9"/>
      <c r="M2283" s="9"/>
    </row>
    <row r="2284">
      <c r="J2284" s="9"/>
      <c r="K2284" s="9"/>
      <c r="L2284" s="9"/>
      <c r="M2284" s="9"/>
    </row>
    <row r="2285">
      <c r="J2285" s="9"/>
      <c r="K2285" s="9"/>
      <c r="L2285" s="9"/>
      <c r="M2285" s="9"/>
    </row>
    <row r="2286">
      <c r="J2286" s="9"/>
      <c r="K2286" s="9"/>
      <c r="L2286" s="9"/>
      <c r="M2286" s="9"/>
    </row>
    <row r="2287">
      <c r="J2287" s="9"/>
      <c r="K2287" s="9"/>
      <c r="L2287" s="9"/>
      <c r="M2287" s="9"/>
    </row>
    <row r="2288">
      <c r="J2288" s="9"/>
      <c r="K2288" s="9"/>
      <c r="L2288" s="9"/>
      <c r="M2288" s="9"/>
    </row>
    <row r="2289">
      <c r="J2289" s="9"/>
      <c r="K2289" s="9"/>
      <c r="L2289" s="9"/>
      <c r="M2289" s="9"/>
    </row>
    <row r="2290">
      <c r="J2290" s="9"/>
      <c r="K2290" s="9"/>
      <c r="L2290" s="9"/>
      <c r="M2290" s="9"/>
    </row>
    <row r="2291">
      <c r="J2291" s="9"/>
      <c r="K2291" s="9"/>
      <c r="L2291" s="9"/>
      <c r="M2291" s="9"/>
    </row>
    <row r="2292">
      <c r="J2292" s="9"/>
      <c r="K2292" s="9"/>
      <c r="L2292" s="9"/>
      <c r="M2292" s="9"/>
    </row>
    <row r="2293">
      <c r="J2293" s="9"/>
      <c r="K2293" s="9"/>
      <c r="L2293" s="9"/>
      <c r="M2293" s="9"/>
    </row>
    <row r="2294">
      <c r="J2294" s="9"/>
      <c r="K2294" s="9"/>
      <c r="L2294" s="9"/>
      <c r="M2294" s="9"/>
    </row>
    <row r="2295">
      <c r="J2295" s="9"/>
      <c r="K2295" s="9"/>
      <c r="L2295" s="9"/>
      <c r="M2295" s="9"/>
    </row>
    <row r="2296">
      <c r="J2296" s="9"/>
      <c r="K2296" s="9"/>
      <c r="L2296" s="9"/>
      <c r="M2296" s="9"/>
    </row>
    <row r="2297">
      <c r="J2297" s="9"/>
      <c r="K2297" s="9"/>
      <c r="L2297" s="9"/>
      <c r="M2297" s="9"/>
    </row>
    <row r="2298">
      <c r="J2298" s="9"/>
      <c r="K2298" s="9"/>
      <c r="L2298" s="9"/>
      <c r="M2298" s="9"/>
    </row>
    <row r="2299">
      <c r="J2299" s="9"/>
      <c r="K2299" s="9"/>
      <c r="L2299" s="9"/>
      <c r="M2299" s="9"/>
    </row>
    <row r="2300">
      <c r="J2300" s="9"/>
      <c r="K2300" s="9"/>
      <c r="L2300" s="9"/>
      <c r="M2300" s="9"/>
    </row>
    <row r="2301">
      <c r="J2301" s="9"/>
      <c r="K2301" s="9"/>
      <c r="L2301" s="9"/>
      <c r="M2301" s="9"/>
    </row>
    <row r="2302">
      <c r="J2302" s="9"/>
      <c r="K2302" s="9"/>
      <c r="L2302" s="9"/>
      <c r="M2302" s="9"/>
    </row>
    <row r="2303">
      <c r="J2303" s="9"/>
      <c r="K2303" s="9"/>
      <c r="L2303" s="9"/>
      <c r="M2303" s="9"/>
    </row>
    <row r="2304">
      <c r="J2304" s="9"/>
      <c r="K2304" s="9"/>
      <c r="L2304" s="9"/>
      <c r="M2304" s="9"/>
    </row>
    <row r="2305">
      <c r="J2305" s="9"/>
      <c r="K2305" s="9"/>
      <c r="L2305" s="9"/>
      <c r="M2305" s="9"/>
    </row>
    <row r="2306">
      <c r="J2306" s="9"/>
      <c r="K2306" s="9"/>
      <c r="L2306" s="9"/>
      <c r="M2306" s="9"/>
    </row>
    <row r="2307">
      <c r="J2307" s="9"/>
      <c r="K2307" s="9"/>
      <c r="L2307" s="9"/>
      <c r="M2307" s="9"/>
    </row>
    <row r="2308">
      <c r="J2308" s="9"/>
      <c r="K2308" s="9"/>
      <c r="L2308" s="9"/>
      <c r="M2308" s="9"/>
    </row>
    <row r="2309">
      <c r="J2309" s="9"/>
      <c r="K2309" s="9"/>
      <c r="L2309" s="9"/>
      <c r="M2309" s="9"/>
    </row>
    <row r="2310">
      <c r="J2310" s="9"/>
      <c r="K2310" s="9"/>
      <c r="L2310" s="9"/>
      <c r="M2310" s="9"/>
    </row>
    <row r="2311">
      <c r="J2311" s="9"/>
      <c r="K2311" s="9"/>
      <c r="L2311" s="9"/>
      <c r="M2311" s="9"/>
    </row>
    <row r="2312">
      <c r="J2312" s="9"/>
      <c r="K2312" s="9"/>
      <c r="L2312" s="9"/>
      <c r="M2312" s="9"/>
    </row>
    <row r="2313">
      <c r="J2313" s="9"/>
      <c r="K2313" s="9"/>
      <c r="L2313" s="9"/>
      <c r="M2313" s="9"/>
    </row>
    <row r="2314">
      <c r="J2314" s="9"/>
      <c r="K2314" s="9"/>
      <c r="L2314" s="9"/>
      <c r="M2314" s="9"/>
    </row>
    <row r="2315">
      <c r="J2315" s="9"/>
      <c r="K2315" s="9"/>
      <c r="L2315" s="9"/>
      <c r="M2315" s="9"/>
    </row>
    <row r="2316">
      <c r="J2316" s="9"/>
      <c r="K2316" s="9"/>
      <c r="L2316" s="9"/>
      <c r="M2316" s="9"/>
    </row>
    <row r="2317">
      <c r="J2317" s="9"/>
      <c r="K2317" s="9"/>
      <c r="L2317" s="9"/>
      <c r="M2317" s="9"/>
    </row>
    <row r="2318">
      <c r="J2318" s="9"/>
      <c r="K2318" s="9"/>
      <c r="L2318" s="9"/>
      <c r="M2318" s="9"/>
    </row>
    <row r="2319">
      <c r="J2319" s="9"/>
      <c r="K2319" s="9"/>
      <c r="L2319" s="9"/>
      <c r="M2319" s="9"/>
    </row>
    <row r="2320">
      <c r="J2320" s="9"/>
      <c r="K2320" s="9"/>
      <c r="L2320" s="9"/>
      <c r="M2320" s="9"/>
    </row>
    <row r="2321">
      <c r="J2321" s="9"/>
      <c r="K2321" s="9"/>
      <c r="L2321" s="9"/>
      <c r="M2321" s="9"/>
    </row>
    <row r="2322">
      <c r="J2322" s="9"/>
      <c r="K2322" s="9"/>
      <c r="L2322" s="9"/>
      <c r="M2322" s="9"/>
    </row>
    <row r="2323">
      <c r="J2323" s="9"/>
      <c r="K2323" s="9"/>
      <c r="L2323" s="9"/>
      <c r="M2323" s="9"/>
    </row>
    <row r="2324">
      <c r="J2324" s="9"/>
      <c r="K2324" s="9"/>
      <c r="L2324" s="9"/>
      <c r="M2324" s="9"/>
    </row>
    <row r="2325">
      <c r="J2325" s="9"/>
      <c r="K2325" s="9"/>
      <c r="L2325" s="9"/>
      <c r="M2325" s="9"/>
    </row>
    <row r="2326">
      <c r="J2326" s="9"/>
      <c r="K2326" s="9"/>
      <c r="L2326" s="9"/>
      <c r="M2326" s="9"/>
    </row>
    <row r="2327">
      <c r="J2327" s="9"/>
      <c r="K2327" s="9"/>
      <c r="L2327" s="9"/>
      <c r="M2327" s="9"/>
    </row>
    <row r="2328">
      <c r="J2328" s="9"/>
      <c r="K2328" s="9"/>
      <c r="L2328" s="9"/>
      <c r="M2328" s="9"/>
    </row>
    <row r="2329">
      <c r="J2329" s="9"/>
      <c r="K2329" s="9"/>
      <c r="L2329" s="9"/>
      <c r="M2329" s="9"/>
    </row>
    <row r="2330">
      <c r="J2330" s="9"/>
      <c r="K2330" s="9"/>
      <c r="L2330" s="9"/>
      <c r="M2330" s="9"/>
    </row>
    <row r="2331">
      <c r="J2331" s="9"/>
      <c r="K2331" s="9"/>
      <c r="L2331" s="9"/>
      <c r="M2331" s="9"/>
    </row>
    <row r="2332">
      <c r="J2332" s="9"/>
      <c r="K2332" s="9"/>
      <c r="L2332" s="9"/>
      <c r="M2332" s="9"/>
    </row>
    <row r="2333">
      <c r="J2333" s="9"/>
      <c r="K2333" s="9"/>
      <c r="L2333" s="9"/>
      <c r="M2333" s="9"/>
    </row>
    <row r="2334">
      <c r="J2334" s="9"/>
      <c r="K2334" s="9"/>
      <c r="L2334" s="9"/>
      <c r="M2334" s="9"/>
    </row>
    <row r="2335">
      <c r="J2335" s="9"/>
      <c r="K2335" s="9"/>
      <c r="L2335" s="9"/>
      <c r="M2335" s="9"/>
    </row>
    <row r="2336">
      <c r="J2336" s="9"/>
      <c r="K2336" s="9"/>
      <c r="L2336" s="9"/>
      <c r="M2336" s="9"/>
    </row>
    <row r="2337">
      <c r="J2337" s="9"/>
      <c r="K2337" s="9"/>
      <c r="L2337" s="9"/>
      <c r="M2337" s="9"/>
    </row>
    <row r="2338">
      <c r="J2338" s="9"/>
      <c r="K2338" s="9"/>
      <c r="L2338" s="9"/>
      <c r="M2338" s="9"/>
    </row>
    <row r="2339">
      <c r="J2339" s="9"/>
      <c r="K2339" s="9"/>
      <c r="L2339" s="9"/>
      <c r="M2339" s="9"/>
    </row>
    <row r="2340">
      <c r="J2340" s="9"/>
      <c r="K2340" s="9"/>
      <c r="L2340" s="9"/>
      <c r="M2340" s="9"/>
    </row>
    <row r="2341">
      <c r="J2341" s="9"/>
      <c r="K2341" s="9"/>
      <c r="L2341" s="9"/>
      <c r="M2341" s="9"/>
    </row>
    <row r="2342">
      <c r="J2342" s="9"/>
      <c r="K2342" s="9"/>
      <c r="L2342" s="9"/>
      <c r="M2342" s="9"/>
    </row>
    <row r="2343">
      <c r="J2343" s="9"/>
      <c r="K2343" s="9"/>
      <c r="L2343" s="9"/>
      <c r="M2343" s="9"/>
    </row>
    <row r="2344">
      <c r="J2344" s="9"/>
      <c r="K2344" s="9"/>
      <c r="L2344" s="9"/>
      <c r="M2344" s="9"/>
    </row>
    <row r="2345">
      <c r="J2345" s="9"/>
      <c r="K2345" s="9"/>
      <c r="L2345" s="9"/>
      <c r="M2345" s="9"/>
    </row>
    <row r="2346">
      <c r="J2346" s="9"/>
      <c r="K2346" s="9"/>
      <c r="L2346" s="9"/>
      <c r="M2346" s="9"/>
    </row>
    <row r="2347">
      <c r="J2347" s="9"/>
      <c r="K2347" s="9"/>
      <c r="L2347" s="9"/>
      <c r="M2347" s="9"/>
    </row>
    <row r="2348">
      <c r="J2348" s="9"/>
      <c r="K2348" s="9"/>
      <c r="L2348" s="9"/>
      <c r="M2348" s="9"/>
    </row>
    <row r="2349">
      <c r="J2349" s="9"/>
      <c r="K2349" s="9"/>
      <c r="L2349" s="9"/>
      <c r="M2349" s="9"/>
    </row>
    <row r="2350">
      <c r="J2350" s="9"/>
      <c r="K2350" s="9"/>
      <c r="L2350" s="9"/>
      <c r="M2350" s="9"/>
    </row>
    <row r="2351">
      <c r="J2351" s="9"/>
      <c r="K2351" s="9"/>
      <c r="L2351" s="9"/>
      <c r="M2351" s="9"/>
    </row>
    <row r="2352">
      <c r="J2352" s="9"/>
      <c r="K2352" s="9"/>
      <c r="L2352" s="9"/>
      <c r="M2352" s="9"/>
    </row>
    <row r="2353">
      <c r="J2353" s="9"/>
      <c r="K2353" s="9"/>
      <c r="L2353" s="9"/>
      <c r="M2353" s="9"/>
    </row>
    <row r="2354">
      <c r="J2354" s="9"/>
      <c r="K2354" s="9"/>
      <c r="L2354" s="9"/>
      <c r="M2354" s="9"/>
    </row>
    <row r="2355">
      <c r="J2355" s="9"/>
      <c r="K2355" s="9"/>
      <c r="L2355" s="9"/>
      <c r="M2355" s="9"/>
    </row>
    <row r="2356">
      <c r="J2356" s="9"/>
      <c r="K2356" s="9"/>
      <c r="L2356" s="9"/>
      <c r="M2356" s="9"/>
    </row>
    <row r="2357">
      <c r="J2357" s="9"/>
      <c r="K2357" s="9"/>
      <c r="L2357" s="9"/>
      <c r="M2357" s="9"/>
    </row>
    <row r="2358">
      <c r="J2358" s="9"/>
      <c r="K2358" s="9"/>
      <c r="L2358" s="9"/>
      <c r="M2358" s="9"/>
    </row>
    <row r="2359">
      <c r="J2359" s="9"/>
      <c r="K2359" s="9"/>
      <c r="L2359" s="9"/>
      <c r="M2359" s="9"/>
    </row>
    <row r="2360">
      <c r="J2360" s="9"/>
      <c r="K2360" s="9"/>
      <c r="L2360" s="9"/>
      <c r="M2360" s="9"/>
    </row>
    <row r="2361">
      <c r="J2361" s="9"/>
      <c r="K2361" s="9"/>
      <c r="L2361" s="9"/>
      <c r="M2361" s="9"/>
    </row>
    <row r="2362">
      <c r="J2362" s="9"/>
      <c r="K2362" s="9"/>
      <c r="L2362" s="9"/>
      <c r="M2362" s="9"/>
    </row>
    <row r="2363">
      <c r="J2363" s="9"/>
      <c r="K2363" s="9"/>
      <c r="L2363" s="9"/>
      <c r="M2363" s="9"/>
    </row>
    <row r="2364">
      <c r="J2364" s="9"/>
      <c r="K2364" s="9"/>
      <c r="L2364" s="9"/>
      <c r="M2364" s="9"/>
    </row>
    <row r="2365">
      <c r="J2365" s="9"/>
      <c r="K2365" s="9"/>
      <c r="L2365" s="9"/>
      <c r="M2365" s="9"/>
    </row>
    <row r="2366">
      <c r="J2366" s="9"/>
      <c r="K2366" s="9"/>
      <c r="L2366" s="9"/>
      <c r="M2366" s="9"/>
    </row>
    <row r="2367">
      <c r="J2367" s="9"/>
      <c r="K2367" s="9"/>
      <c r="L2367" s="9"/>
      <c r="M2367" s="9"/>
    </row>
    <row r="2368">
      <c r="J2368" s="9"/>
      <c r="K2368" s="9"/>
      <c r="L2368" s="9"/>
      <c r="M2368" s="9"/>
    </row>
    <row r="2369">
      <c r="J2369" s="9"/>
      <c r="K2369" s="9"/>
      <c r="L2369" s="9"/>
      <c r="M2369" s="9"/>
    </row>
    <row r="2370">
      <c r="J2370" s="9"/>
      <c r="K2370" s="9"/>
      <c r="L2370" s="9"/>
      <c r="M2370" s="9"/>
    </row>
    <row r="2371">
      <c r="J2371" s="9"/>
      <c r="K2371" s="9"/>
      <c r="L2371" s="9"/>
      <c r="M2371" s="9"/>
    </row>
    <row r="2372">
      <c r="J2372" s="9"/>
      <c r="K2372" s="9"/>
      <c r="L2372" s="9"/>
      <c r="M2372" s="9"/>
    </row>
    <row r="2373">
      <c r="J2373" s="9"/>
      <c r="K2373" s="9"/>
      <c r="L2373" s="9"/>
      <c r="M2373" s="9"/>
    </row>
    <row r="2374">
      <c r="J2374" s="9"/>
      <c r="K2374" s="9"/>
      <c r="L2374" s="9"/>
      <c r="M2374" s="9"/>
    </row>
    <row r="2375">
      <c r="J2375" s="9"/>
      <c r="K2375" s="9"/>
      <c r="L2375" s="9"/>
      <c r="M2375" s="9"/>
    </row>
    <row r="2376">
      <c r="J2376" s="9"/>
      <c r="K2376" s="9"/>
      <c r="L2376" s="9"/>
      <c r="M2376" s="9"/>
    </row>
    <row r="2377">
      <c r="J2377" s="9"/>
      <c r="K2377" s="9"/>
      <c r="L2377" s="9"/>
      <c r="M2377" s="9"/>
    </row>
    <row r="2378">
      <c r="J2378" s="9"/>
      <c r="K2378" s="9"/>
      <c r="L2378" s="9"/>
      <c r="M2378" s="9"/>
    </row>
    <row r="2379">
      <c r="J2379" s="9"/>
      <c r="K2379" s="9"/>
      <c r="L2379" s="9"/>
      <c r="M2379" s="9"/>
    </row>
    <row r="2380">
      <c r="J2380" s="9"/>
      <c r="K2380" s="9"/>
      <c r="L2380" s="9"/>
      <c r="M2380" s="9"/>
    </row>
    <row r="2381">
      <c r="J2381" s="9"/>
      <c r="K2381" s="9"/>
      <c r="L2381" s="9"/>
      <c r="M2381" s="9"/>
    </row>
    <row r="2382">
      <c r="J2382" s="9"/>
      <c r="K2382" s="9"/>
      <c r="L2382" s="9"/>
      <c r="M2382" s="9"/>
    </row>
    <row r="2383">
      <c r="J2383" s="9"/>
      <c r="K2383" s="9"/>
      <c r="L2383" s="9"/>
      <c r="M2383" s="9"/>
    </row>
    <row r="2384">
      <c r="J2384" s="9"/>
      <c r="K2384" s="9"/>
      <c r="L2384" s="9"/>
      <c r="M2384" s="9"/>
    </row>
    <row r="2385">
      <c r="J2385" s="9"/>
      <c r="K2385" s="9"/>
      <c r="L2385" s="9"/>
      <c r="M2385" s="9"/>
    </row>
    <row r="2386">
      <c r="J2386" s="9"/>
      <c r="K2386" s="9"/>
      <c r="L2386" s="9"/>
      <c r="M2386" s="9"/>
    </row>
    <row r="2387">
      <c r="J2387" s="9"/>
      <c r="K2387" s="9"/>
      <c r="L2387" s="9"/>
      <c r="M2387" s="9"/>
    </row>
    <row r="2388">
      <c r="J2388" s="9"/>
      <c r="K2388" s="9"/>
      <c r="L2388" s="9"/>
      <c r="M2388" s="9"/>
    </row>
    <row r="2389">
      <c r="J2389" s="9"/>
      <c r="K2389" s="9"/>
      <c r="L2389" s="9"/>
      <c r="M2389" s="9"/>
    </row>
    <row r="2390">
      <c r="J2390" s="9"/>
      <c r="K2390" s="9"/>
      <c r="L2390" s="9"/>
      <c r="M2390" s="9"/>
    </row>
    <row r="2391">
      <c r="J2391" s="9"/>
      <c r="K2391" s="9"/>
      <c r="L2391" s="9"/>
      <c r="M2391" s="9"/>
    </row>
    <row r="2392">
      <c r="J2392" s="9"/>
      <c r="K2392" s="9"/>
      <c r="L2392" s="9"/>
      <c r="M2392" s="9"/>
    </row>
    <row r="2393">
      <c r="J2393" s="9"/>
      <c r="K2393" s="9"/>
      <c r="L2393" s="9"/>
      <c r="M2393" s="9"/>
    </row>
    <row r="2394">
      <c r="J2394" s="9"/>
      <c r="K2394" s="9"/>
      <c r="L2394" s="9"/>
      <c r="M2394" s="9"/>
    </row>
    <row r="2395">
      <c r="J2395" s="9"/>
      <c r="K2395" s="9"/>
      <c r="L2395" s="9"/>
      <c r="M2395" s="9"/>
    </row>
    <row r="2396">
      <c r="J2396" s="9"/>
      <c r="K2396" s="9"/>
      <c r="L2396" s="9"/>
      <c r="M2396" s="9"/>
    </row>
    <row r="2397">
      <c r="J2397" s="9"/>
      <c r="K2397" s="9"/>
      <c r="L2397" s="9"/>
      <c r="M2397" s="9"/>
    </row>
    <row r="2398">
      <c r="J2398" s="9"/>
      <c r="K2398" s="9"/>
      <c r="L2398" s="9"/>
      <c r="M2398" s="9"/>
    </row>
    <row r="2399">
      <c r="J2399" s="9"/>
      <c r="K2399" s="9"/>
      <c r="L2399" s="9"/>
      <c r="M2399" s="9"/>
    </row>
    <row r="2400">
      <c r="J2400" s="9"/>
      <c r="K2400" s="9"/>
      <c r="L2400" s="9"/>
      <c r="M2400" s="9"/>
    </row>
    <row r="2401">
      <c r="J2401" s="9"/>
      <c r="K2401" s="9"/>
      <c r="L2401" s="9"/>
      <c r="M2401" s="9"/>
    </row>
    <row r="2402">
      <c r="J2402" s="9"/>
      <c r="K2402" s="9"/>
      <c r="L2402" s="9"/>
      <c r="M2402" s="9"/>
    </row>
    <row r="2403">
      <c r="J2403" s="9"/>
      <c r="K2403" s="9"/>
      <c r="L2403" s="9"/>
      <c r="M2403" s="9"/>
    </row>
    <row r="2404">
      <c r="J2404" s="9"/>
      <c r="K2404" s="9"/>
      <c r="L2404" s="9"/>
      <c r="M2404" s="9"/>
    </row>
    <row r="2405">
      <c r="J2405" s="9"/>
      <c r="K2405" s="9"/>
      <c r="L2405" s="9"/>
      <c r="M2405" s="9"/>
    </row>
    <row r="2406">
      <c r="J2406" s="9"/>
      <c r="K2406" s="9"/>
      <c r="L2406" s="9"/>
      <c r="M2406" s="9"/>
    </row>
    <row r="2407">
      <c r="J2407" s="9"/>
      <c r="K2407" s="9"/>
      <c r="L2407" s="9"/>
      <c r="M2407" s="9"/>
    </row>
    <row r="2408">
      <c r="J2408" s="9"/>
      <c r="K2408" s="9"/>
      <c r="L2408" s="9"/>
      <c r="M2408" s="9"/>
    </row>
    <row r="2409">
      <c r="J2409" s="9"/>
      <c r="K2409" s="9"/>
      <c r="L2409" s="9"/>
      <c r="M2409" s="9"/>
    </row>
    <row r="2410">
      <c r="J2410" s="9"/>
      <c r="K2410" s="9"/>
      <c r="L2410" s="9"/>
      <c r="M2410" s="9"/>
    </row>
    <row r="2411">
      <c r="J2411" s="9"/>
      <c r="K2411" s="9"/>
      <c r="L2411" s="9"/>
      <c r="M2411" s="9"/>
    </row>
    <row r="2412">
      <c r="J2412" s="9"/>
      <c r="K2412" s="9"/>
      <c r="L2412" s="9"/>
      <c r="M2412" s="9"/>
    </row>
    <row r="2413">
      <c r="J2413" s="9"/>
      <c r="K2413" s="9"/>
      <c r="L2413" s="9"/>
      <c r="M2413" s="9"/>
    </row>
    <row r="2414">
      <c r="J2414" s="9"/>
      <c r="K2414" s="9"/>
      <c r="L2414" s="9"/>
      <c r="M2414" s="9"/>
    </row>
    <row r="2415">
      <c r="J2415" s="9"/>
      <c r="K2415" s="9"/>
      <c r="L2415" s="9"/>
      <c r="M2415" s="9"/>
    </row>
    <row r="2416">
      <c r="J2416" s="9"/>
      <c r="K2416" s="9"/>
      <c r="L2416" s="9"/>
      <c r="M2416" s="9"/>
    </row>
    <row r="2417">
      <c r="J2417" s="9"/>
      <c r="K2417" s="9"/>
      <c r="L2417" s="9"/>
      <c r="M2417" s="9"/>
    </row>
    <row r="2418">
      <c r="J2418" s="9"/>
      <c r="K2418" s="9"/>
      <c r="L2418" s="9"/>
      <c r="M2418" s="9"/>
    </row>
    <row r="2419">
      <c r="J2419" s="9"/>
      <c r="K2419" s="9"/>
      <c r="L2419" s="9"/>
      <c r="M2419" s="9"/>
    </row>
    <row r="2420">
      <c r="J2420" s="9"/>
      <c r="K2420" s="9"/>
      <c r="L2420" s="9"/>
      <c r="M2420" s="9"/>
    </row>
    <row r="2421">
      <c r="J2421" s="9"/>
      <c r="K2421" s="9"/>
      <c r="L2421" s="9"/>
      <c r="M2421" s="9"/>
    </row>
    <row r="2422">
      <c r="J2422" s="9"/>
      <c r="K2422" s="9"/>
      <c r="L2422" s="9"/>
      <c r="M2422" s="9"/>
    </row>
    <row r="2423">
      <c r="J2423" s="9"/>
      <c r="K2423" s="9"/>
      <c r="L2423" s="9"/>
      <c r="M2423" s="9"/>
    </row>
    <row r="2424">
      <c r="J2424" s="9"/>
      <c r="K2424" s="9"/>
      <c r="L2424" s="9"/>
      <c r="M2424" s="9"/>
    </row>
    <row r="2425">
      <c r="J2425" s="9"/>
      <c r="K2425" s="9"/>
      <c r="L2425" s="9"/>
      <c r="M2425" s="9"/>
    </row>
    <row r="2426">
      <c r="J2426" s="9"/>
      <c r="K2426" s="9"/>
      <c r="L2426" s="9"/>
      <c r="M2426" s="9"/>
    </row>
    <row r="2427">
      <c r="J2427" s="9"/>
      <c r="K2427" s="9"/>
      <c r="L2427" s="9"/>
      <c r="M2427" s="9"/>
    </row>
    <row r="2428">
      <c r="J2428" s="9"/>
      <c r="K2428" s="9"/>
      <c r="L2428" s="9"/>
      <c r="M2428" s="9"/>
    </row>
    <row r="2429">
      <c r="J2429" s="9"/>
      <c r="K2429" s="9"/>
      <c r="L2429" s="9"/>
      <c r="M2429" s="9"/>
    </row>
    <row r="2430">
      <c r="J2430" s="9"/>
      <c r="K2430" s="9"/>
      <c r="L2430" s="9"/>
      <c r="M2430" s="9"/>
    </row>
    <row r="2431">
      <c r="J2431" s="9"/>
      <c r="K2431" s="9"/>
      <c r="L2431" s="9"/>
      <c r="M2431" s="9"/>
    </row>
    <row r="2432">
      <c r="J2432" s="9"/>
      <c r="K2432" s="9"/>
      <c r="L2432" s="9"/>
      <c r="M2432" s="9"/>
    </row>
    <row r="2433">
      <c r="J2433" s="9"/>
      <c r="K2433" s="9"/>
      <c r="L2433" s="9"/>
      <c r="M2433" s="9"/>
    </row>
    <row r="2434">
      <c r="J2434" s="9"/>
      <c r="K2434" s="9"/>
      <c r="L2434" s="9"/>
      <c r="M2434" s="9"/>
    </row>
    <row r="2435">
      <c r="J2435" s="9"/>
      <c r="K2435" s="9"/>
      <c r="L2435" s="9"/>
      <c r="M2435" s="9"/>
    </row>
    <row r="2436">
      <c r="J2436" s="9"/>
      <c r="K2436" s="9"/>
      <c r="L2436" s="9"/>
      <c r="M2436" s="9"/>
    </row>
    <row r="2437">
      <c r="J2437" s="9"/>
      <c r="K2437" s="9"/>
      <c r="L2437" s="9"/>
      <c r="M2437" s="9"/>
    </row>
    <row r="2438">
      <c r="J2438" s="9"/>
      <c r="K2438" s="9"/>
      <c r="L2438" s="9"/>
      <c r="M2438" s="9"/>
    </row>
    <row r="2439">
      <c r="J2439" s="9"/>
      <c r="K2439" s="9"/>
      <c r="L2439" s="9"/>
      <c r="M2439" s="9"/>
    </row>
    <row r="2440">
      <c r="J2440" s="9"/>
      <c r="K2440" s="9"/>
      <c r="L2440" s="9"/>
      <c r="M2440" s="9"/>
    </row>
    <row r="2441">
      <c r="J2441" s="9"/>
      <c r="K2441" s="9"/>
      <c r="L2441" s="9"/>
      <c r="M2441" s="9"/>
    </row>
    <row r="2442">
      <c r="J2442" s="9"/>
      <c r="K2442" s="9"/>
      <c r="L2442" s="9"/>
      <c r="M2442" s="9"/>
    </row>
    <row r="2443">
      <c r="J2443" s="9"/>
      <c r="K2443" s="9"/>
      <c r="L2443" s="9"/>
      <c r="M2443" s="9"/>
    </row>
    <row r="2444">
      <c r="J2444" s="9"/>
      <c r="K2444" s="9"/>
      <c r="L2444" s="9"/>
      <c r="M2444" s="9"/>
    </row>
    <row r="2445">
      <c r="J2445" s="9"/>
      <c r="K2445" s="9"/>
      <c r="L2445" s="9"/>
      <c r="M2445" s="9"/>
    </row>
    <row r="2446">
      <c r="J2446" s="9"/>
      <c r="K2446" s="9"/>
      <c r="L2446" s="9"/>
      <c r="M2446" s="9"/>
    </row>
    <row r="2447">
      <c r="J2447" s="9"/>
      <c r="K2447" s="9"/>
      <c r="L2447" s="9"/>
      <c r="M2447" s="9"/>
    </row>
    <row r="2448">
      <c r="J2448" s="9"/>
      <c r="K2448" s="9"/>
      <c r="L2448" s="9"/>
      <c r="M2448" s="9"/>
    </row>
    <row r="2449">
      <c r="J2449" s="9"/>
      <c r="K2449" s="9"/>
      <c r="L2449" s="9"/>
      <c r="M2449" s="9"/>
    </row>
    <row r="2450">
      <c r="J2450" s="9"/>
      <c r="K2450" s="9"/>
      <c r="L2450" s="9"/>
      <c r="M2450" s="9"/>
    </row>
    <row r="2451">
      <c r="J2451" s="9"/>
      <c r="K2451" s="9"/>
      <c r="L2451" s="9"/>
      <c r="M2451" s="9"/>
    </row>
    <row r="2452">
      <c r="J2452" s="9"/>
      <c r="K2452" s="9"/>
      <c r="L2452" s="9"/>
      <c r="M2452" s="9"/>
    </row>
    <row r="2453">
      <c r="J2453" s="9"/>
      <c r="K2453" s="9"/>
      <c r="L2453" s="9"/>
      <c r="M2453" s="9"/>
    </row>
    <row r="2454">
      <c r="J2454" s="9"/>
      <c r="K2454" s="9"/>
      <c r="L2454" s="9"/>
      <c r="M2454" s="9"/>
    </row>
    <row r="2455">
      <c r="J2455" s="9"/>
      <c r="K2455" s="9"/>
      <c r="L2455" s="9"/>
      <c r="M2455" s="9"/>
    </row>
    <row r="2456">
      <c r="J2456" s="9"/>
      <c r="K2456" s="9"/>
      <c r="L2456" s="9"/>
      <c r="M2456" s="9"/>
    </row>
    <row r="2457">
      <c r="J2457" s="9"/>
      <c r="K2457" s="9"/>
      <c r="L2457" s="9"/>
      <c r="M2457" s="9"/>
    </row>
    <row r="2458">
      <c r="J2458" s="9"/>
      <c r="K2458" s="9"/>
      <c r="L2458" s="9"/>
      <c r="M2458" s="9"/>
    </row>
    <row r="2459">
      <c r="J2459" s="9"/>
      <c r="K2459" s="9"/>
      <c r="L2459" s="9"/>
      <c r="M2459" s="9"/>
    </row>
    <row r="2460">
      <c r="J2460" s="9"/>
      <c r="K2460" s="9"/>
      <c r="L2460" s="9"/>
      <c r="M2460" s="9"/>
    </row>
    <row r="2461">
      <c r="J2461" s="9"/>
      <c r="K2461" s="9"/>
      <c r="L2461" s="9"/>
      <c r="M2461" s="9"/>
    </row>
    <row r="2462">
      <c r="J2462" s="9"/>
      <c r="K2462" s="9"/>
      <c r="L2462" s="9"/>
      <c r="M2462" s="9"/>
    </row>
    <row r="2463">
      <c r="J2463" s="9"/>
      <c r="K2463" s="9"/>
      <c r="L2463" s="9"/>
      <c r="M2463" s="9"/>
    </row>
    <row r="2464">
      <c r="J2464" s="9"/>
      <c r="K2464" s="9"/>
      <c r="L2464" s="9"/>
      <c r="M2464" s="9"/>
    </row>
    <row r="2465">
      <c r="J2465" s="9"/>
      <c r="K2465" s="9"/>
      <c r="L2465" s="9"/>
      <c r="M2465" s="9"/>
    </row>
    <row r="2466">
      <c r="J2466" s="9"/>
      <c r="K2466" s="9"/>
      <c r="L2466" s="9"/>
      <c r="M2466" s="9"/>
    </row>
    <row r="2467">
      <c r="J2467" s="9"/>
      <c r="K2467" s="9"/>
      <c r="L2467" s="9"/>
      <c r="M2467" s="9"/>
    </row>
    <row r="2468">
      <c r="J2468" s="9"/>
      <c r="K2468" s="9"/>
      <c r="L2468" s="9"/>
      <c r="M2468" s="9"/>
    </row>
    <row r="2469">
      <c r="J2469" s="9"/>
      <c r="K2469" s="9"/>
      <c r="L2469" s="9"/>
      <c r="M2469" s="9"/>
    </row>
    <row r="2470">
      <c r="J2470" s="9"/>
      <c r="K2470" s="9"/>
      <c r="L2470" s="9"/>
      <c r="M2470" s="9"/>
    </row>
    <row r="2471">
      <c r="J2471" s="9"/>
      <c r="K2471" s="9"/>
      <c r="L2471" s="9"/>
      <c r="M2471" s="9"/>
    </row>
    <row r="2472">
      <c r="J2472" s="9"/>
      <c r="K2472" s="9"/>
      <c r="L2472" s="9"/>
      <c r="M2472" s="9"/>
    </row>
    <row r="2473">
      <c r="J2473" s="9"/>
      <c r="K2473" s="9"/>
      <c r="L2473" s="9"/>
      <c r="M2473" s="9"/>
    </row>
    <row r="2474">
      <c r="J2474" s="9"/>
      <c r="K2474" s="9"/>
      <c r="L2474" s="9"/>
      <c r="M2474" s="9"/>
    </row>
    <row r="2475">
      <c r="J2475" s="9"/>
      <c r="K2475" s="9"/>
      <c r="L2475" s="9"/>
      <c r="M2475" s="9"/>
    </row>
    <row r="2476">
      <c r="J2476" s="9"/>
      <c r="K2476" s="9"/>
      <c r="L2476" s="9"/>
      <c r="M2476" s="9"/>
    </row>
    <row r="2477">
      <c r="J2477" s="9"/>
      <c r="K2477" s="9"/>
      <c r="L2477" s="9"/>
      <c r="M2477" s="9"/>
    </row>
    <row r="2478">
      <c r="J2478" s="9"/>
      <c r="K2478" s="9"/>
      <c r="L2478" s="9"/>
      <c r="M2478" s="9"/>
    </row>
    <row r="2479">
      <c r="J2479" s="9"/>
      <c r="K2479" s="9"/>
      <c r="L2479" s="9"/>
      <c r="M2479" s="9"/>
    </row>
    <row r="2480">
      <c r="J2480" s="9"/>
      <c r="K2480" s="9"/>
      <c r="L2480" s="9"/>
      <c r="M2480" s="9"/>
    </row>
    <row r="2481">
      <c r="J2481" s="9"/>
      <c r="K2481" s="9"/>
      <c r="L2481" s="9"/>
      <c r="M2481" s="9"/>
    </row>
    <row r="2482">
      <c r="J2482" s="9"/>
      <c r="K2482" s="9"/>
      <c r="L2482" s="9"/>
      <c r="M2482" s="9"/>
    </row>
    <row r="2483">
      <c r="J2483" s="9"/>
      <c r="K2483" s="9"/>
      <c r="L2483" s="9"/>
      <c r="M2483" s="9"/>
    </row>
    <row r="2484">
      <c r="J2484" s="9"/>
      <c r="K2484" s="9"/>
      <c r="L2484" s="9"/>
      <c r="M2484" s="9"/>
    </row>
    <row r="2485">
      <c r="J2485" s="9"/>
      <c r="K2485" s="9"/>
      <c r="L2485" s="9"/>
      <c r="M2485" s="9"/>
    </row>
    <row r="2486">
      <c r="J2486" s="9"/>
      <c r="K2486" s="9"/>
      <c r="L2486" s="9"/>
      <c r="M2486" s="9"/>
    </row>
    <row r="2487">
      <c r="J2487" s="9"/>
      <c r="K2487" s="9"/>
      <c r="L2487" s="9"/>
      <c r="M2487" s="9"/>
    </row>
    <row r="2488">
      <c r="J2488" s="9"/>
      <c r="K2488" s="9"/>
      <c r="L2488" s="9"/>
      <c r="M2488" s="9"/>
    </row>
    <row r="2489">
      <c r="J2489" s="9"/>
      <c r="K2489" s="9"/>
      <c r="L2489" s="9"/>
      <c r="M2489" s="9"/>
    </row>
    <row r="2490">
      <c r="J2490" s="9"/>
      <c r="K2490" s="9"/>
      <c r="L2490" s="9"/>
      <c r="M2490" s="9"/>
    </row>
    <row r="2491">
      <c r="J2491" s="9"/>
      <c r="K2491" s="9"/>
      <c r="L2491" s="9"/>
      <c r="M2491" s="9"/>
    </row>
    <row r="2492">
      <c r="J2492" s="9"/>
      <c r="K2492" s="9"/>
      <c r="L2492" s="9"/>
      <c r="M2492" s="9"/>
    </row>
    <row r="2493">
      <c r="J2493" s="9"/>
      <c r="K2493" s="9"/>
      <c r="L2493" s="9"/>
      <c r="M2493" s="9"/>
    </row>
    <row r="2494">
      <c r="J2494" s="9"/>
      <c r="K2494" s="9"/>
      <c r="L2494" s="9"/>
      <c r="M2494" s="9"/>
    </row>
    <row r="2495">
      <c r="J2495" s="9"/>
      <c r="K2495" s="9"/>
      <c r="L2495" s="9"/>
      <c r="M2495" s="9"/>
    </row>
    <row r="2496">
      <c r="J2496" s="9"/>
      <c r="K2496" s="9"/>
      <c r="L2496" s="9"/>
      <c r="M2496" s="9"/>
    </row>
    <row r="2497">
      <c r="J2497" s="9"/>
      <c r="K2497" s="9"/>
      <c r="L2497" s="9"/>
      <c r="M2497" s="9"/>
    </row>
    <row r="2498">
      <c r="J2498" s="9"/>
      <c r="K2498" s="9"/>
      <c r="L2498" s="9"/>
      <c r="M2498" s="9"/>
    </row>
    <row r="2499">
      <c r="J2499" s="9"/>
      <c r="K2499" s="9"/>
      <c r="L2499" s="9"/>
      <c r="M2499" s="9"/>
    </row>
    <row r="2500">
      <c r="J2500" s="9"/>
      <c r="K2500" s="9"/>
      <c r="L2500" s="9"/>
      <c r="M2500" s="9"/>
    </row>
    <row r="2501">
      <c r="J2501" s="9"/>
      <c r="K2501" s="9"/>
      <c r="L2501" s="9"/>
      <c r="M2501" s="9"/>
    </row>
    <row r="2502">
      <c r="J2502" s="9"/>
      <c r="K2502" s="9"/>
      <c r="L2502" s="9"/>
      <c r="M2502" s="9"/>
    </row>
    <row r="2503">
      <c r="J2503" s="9"/>
      <c r="K2503" s="9"/>
      <c r="L2503" s="9"/>
      <c r="M2503" s="9"/>
    </row>
    <row r="2504">
      <c r="J2504" s="9"/>
      <c r="K2504" s="9"/>
      <c r="L2504" s="9"/>
      <c r="M2504" s="9"/>
    </row>
    <row r="2505">
      <c r="J2505" s="9"/>
      <c r="K2505" s="9"/>
      <c r="L2505" s="9"/>
      <c r="M2505" s="9"/>
    </row>
    <row r="2506">
      <c r="J2506" s="9"/>
      <c r="K2506" s="9"/>
      <c r="L2506" s="9"/>
      <c r="M2506" s="9"/>
    </row>
    <row r="2507">
      <c r="J2507" s="9"/>
      <c r="K2507" s="9"/>
      <c r="L2507" s="9"/>
      <c r="M2507" s="9"/>
    </row>
    <row r="2508">
      <c r="J2508" s="9"/>
      <c r="K2508" s="9"/>
      <c r="L2508" s="9"/>
      <c r="M2508" s="9"/>
    </row>
    <row r="2509">
      <c r="J2509" s="9"/>
      <c r="K2509" s="9"/>
      <c r="L2509" s="9"/>
      <c r="M2509" s="9"/>
    </row>
    <row r="2510">
      <c r="J2510" s="9"/>
      <c r="K2510" s="9"/>
      <c r="L2510" s="9"/>
      <c r="M2510" s="9"/>
    </row>
    <row r="2511">
      <c r="J2511" s="9"/>
      <c r="K2511" s="9"/>
      <c r="L2511" s="9"/>
      <c r="M2511" s="9"/>
    </row>
    <row r="2512">
      <c r="J2512" s="9"/>
      <c r="K2512" s="9"/>
      <c r="L2512" s="9"/>
      <c r="M2512" s="9"/>
    </row>
    <row r="2513">
      <c r="J2513" s="9"/>
      <c r="K2513" s="9"/>
      <c r="L2513" s="9"/>
      <c r="M2513" s="9"/>
    </row>
    <row r="2514">
      <c r="J2514" s="9"/>
      <c r="K2514" s="9"/>
      <c r="L2514" s="9"/>
      <c r="M2514" s="9"/>
    </row>
    <row r="2515">
      <c r="J2515" s="9"/>
      <c r="K2515" s="9"/>
      <c r="L2515" s="9"/>
      <c r="M2515" s="9"/>
    </row>
    <row r="2516">
      <c r="J2516" s="9"/>
      <c r="K2516" s="9"/>
      <c r="L2516" s="9"/>
      <c r="M2516" s="9"/>
    </row>
    <row r="2517">
      <c r="J2517" s="9"/>
      <c r="K2517" s="9"/>
      <c r="L2517" s="9"/>
      <c r="M2517" s="9"/>
    </row>
    <row r="2518">
      <c r="J2518" s="9"/>
      <c r="K2518" s="9"/>
      <c r="L2518" s="9"/>
      <c r="M2518" s="9"/>
    </row>
    <row r="2519">
      <c r="J2519" s="9"/>
      <c r="K2519" s="9"/>
      <c r="L2519" s="9"/>
      <c r="M2519" s="9"/>
    </row>
    <row r="2520">
      <c r="J2520" s="9"/>
      <c r="K2520" s="9"/>
      <c r="L2520" s="9"/>
      <c r="M2520" s="9"/>
    </row>
    <row r="2521">
      <c r="J2521" s="9"/>
      <c r="K2521" s="9"/>
      <c r="L2521" s="9"/>
      <c r="M2521" s="9"/>
    </row>
    <row r="2522">
      <c r="J2522" s="9"/>
      <c r="K2522" s="9"/>
      <c r="L2522" s="9"/>
      <c r="M2522" s="9"/>
    </row>
    <row r="2523">
      <c r="J2523" s="9"/>
      <c r="K2523" s="9"/>
      <c r="L2523" s="9"/>
      <c r="M2523" s="9"/>
    </row>
    <row r="2524">
      <c r="J2524" s="9"/>
      <c r="K2524" s="9"/>
      <c r="L2524" s="9"/>
      <c r="M2524" s="9"/>
    </row>
    <row r="2525">
      <c r="J2525" s="9"/>
      <c r="K2525" s="9"/>
      <c r="L2525" s="9"/>
      <c r="M2525" s="9"/>
    </row>
    <row r="2526">
      <c r="J2526" s="9"/>
      <c r="K2526" s="9"/>
      <c r="L2526" s="9"/>
      <c r="M2526" s="9"/>
    </row>
    <row r="2527">
      <c r="J2527" s="9"/>
      <c r="K2527" s="9"/>
      <c r="L2527" s="9"/>
      <c r="M2527" s="9"/>
    </row>
    <row r="2528">
      <c r="J2528" s="9"/>
      <c r="K2528" s="9"/>
      <c r="L2528" s="9"/>
      <c r="M2528" s="9"/>
    </row>
    <row r="2529">
      <c r="J2529" s="9"/>
      <c r="K2529" s="9"/>
      <c r="L2529" s="9"/>
      <c r="M2529" s="9"/>
    </row>
    <row r="2530">
      <c r="J2530" s="9"/>
      <c r="K2530" s="9"/>
      <c r="L2530" s="9"/>
      <c r="M2530" s="9"/>
    </row>
    <row r="2531">
      <c r="J2531" s="9"/>
      <c r="K2531" s="9"/>
      <c r="L2531" s="9"/>
      <c r="M2531" s="9"/>
    </row>
    <row r="2532">
      <c r="J2532" s="9"/>
      <c r="K2532" s="9"/>
      <c r="L2532" s="9"/>
      <c r="M2532" s="9"/>
    </row>
    <row r="2533">
      <c r="J2533" s="9"/>
      <c r="K2533" s="9"/>
      <c r="L2533" s="9"/>
      <c r="M2533" s="9"/>
    </row>
    <row r="2534">
      <c r="J2534" s="9"/>
      <c r="K2534" s="9"/>
      <c r="L2534" s="9"/>
      <c r="M2534" s="9"/>
    </row>
    <row r="2535">
      <c r="J2535" s="9"/>
      <c r="K2535" s="9"/>
      <c r="L2535" s="9"/>
      <c r="M2535" s="9"/>
    </row>
    <row r="2536">
      <c r="J2536" s="9"/>
      <c r="K2536" s="9"/>
      <c r="L2536" s="9"/>
      <c r="M2536" s="9"/>
    </row>
    <row r="2537">
      <c r="J2537" s="9"/>
      <c r="K2537" s="9"/>
      <c r="L2537" s="9"/>
      <c r="M2537" s="9"/>
    </row>
    <row r="2538">
      <c r="J2538" s="9"/>
      <c r="K2538" s="9"/>
      <c r="L2538" s="9"/>
      <c r="M2538" s="9"/>
    </row>
    <row r="2539">
      <c r="J2539" s="9"/>
      <c r="K2539" s="9"/>
      <c r="L2539" s="9"/>
      <c r="M2539" s="9"/>
    </row>
    <row r="2540">
      <c r="J2540" s="9"/>
      <c r="K2540" s="9"/>
      <c r="L2540" s="9"/>
      <c r="M2540" s="9"/>
    </row>
    <row r="2541">
      <c r="J2541" s="9"/>
      <c r="K2541" s="9"/>
      <c r="L2541" s="9"/>
      <c r="M2541" s="9"/>
    </row>
    <row r="2542">
      <c r="J2542" s="9"/>
      <c r="K2542" s="9"/>
      <c r="L2542" s="9"/>
      <c r="M2542" s="9"/>
    </row>
    <row r="2543">
      <c r="J2543" s="9"/>
      <c r="K2543" s="9"/>
      <c r="L2543" s="9"/>
      <c r="M2543" s="9"/>
    </row>
    <row r="2544">
      <c r="J2544" s="9"/>
      <c r="K2544" s="9"/>
      <c r="L2544" s="9"/>
      <c r="M2544" s="9"/>
    </row>
    <row r="2545">
      <c r="J2545" s="9"/>
      <c r="K2545" s="9"/>
      <c r="L2545" s="9"/>
      <c r="M2545" s="9"/>
    </row>
    <row r="2546">
      <c r="J2546" s="9"/>
      <c r="K2546" s="9"/>
      <c r="L2546" s="9"/>
      <c r="M2546" s="9"/>
    </row>
    <row r="2547">
      <c r="J2547" s="9"/>
      <c r="K2547" s="9"/>
      <c r="L2547" s="9"/>
      <c r="M2547" s="9"/>
    </row>
    <row r="2548">
      <c r="J2548" s="9"/>
      <c r="K2548" s="9"/>
      <c r="L2548" s="9"/>
      <c r="M2548" s="9"/>
    </row>
    <row r="2549">
      <c r="J2549" s="9"/>
      <c r="K2549" s="9"/>
      <c r="L2549" s="9"/>
      <c r="M2549" s="9"/>
    </row>
    <row r="2550">
      <c r="J2550" s="9"/>
      <c r="K2550" s="9"/>
      <c r="L2550" s="9"/>
      <c r="M2550" s="9"/>
    </row>
    <row r="2551">
      <c r="J2551" s="9"/>
      <c r="K2551" s="9"/>
      <c r="L2551" s="9"/>
      <c r="M2551" s="9"/>
    </row>
    <row r="2552">
      <c r="J2552" s="9"/>
      <c r="K2552" s="9"/>
      <c r="L2552" s="9"/>
      <c r="M2552" s="9"/>
    </row>
    <row r="2553">
      <c r="J2553" s="9"/>
      <c r="K2553" s="9"/>
      <c r="L2553" s="9"/>
      <c r="M2553" s="9"/>
    </row>
    <row r="2554">
      <c r="J2554" s="9"/>
      <c r="K2554" s="9"/>
      <c r="L2554" s="9"/>
      <c r="M2554" s="9"/>
    </row>
    <row r="2555">
      <c r="J2555" s="9"/>
      <c r="K2555" s="9"/>
      <c r="L2555" s="9"/>
      <c r="M2555" s="9"/>
    </row>
    <row r="2556">
      <c r="J2556" s="9"/>
      <c r="K2556" s="9"/>
      <c r="L2556" s="9"/>
      <c r="M2556" s="9"/>
    </row>
    <row r="2557">
      <c r="J2557" s="9"/>
      <c r="K2557" s="9"/>
      <c r="L2557" s="9"/>
      <c r="M2557" s="9"/>
    </row>
    <row r="2558">
      <c r="J2558" s="9"/>
      <c r="K2558" s="9"/>
      <c r="L2558" s="9"/>
      <c r="M2558" s="9"/>
    </row>
    <row r="2559">
      <c r="J2559" s="9"/>
      <c r="K2559" s="9"/>
      <c r="L2559" s="9"/>
      <c r="M2559" s="9"/>
    </row>
    <row r="2560">
      <c r="J2560" s="9"/>
      <c r="K2560" s="9"/>
      <c r="L2560" s="9"/>
      <c r="M2560" s="9"/>
    </row>
    <row r="2561">
      <c r="J2561" s="9"/>
      <c r="K2561" s="9"/>
      <c r="L2561" s="9"/>
      <c r="M2561" s="9"/>
    </row>
    <row r="2562">
      <c r="J2562" s="9"/>
      <c r="K2562" s="9"/>
      <c r="L2562" s="9"/>
      <c r="M2562" s="9"/>
    </row>
    <row r="2563">
      <c r="J2563" s="9"/>
      <c r="K2563" s="9"/>
      <c r="L2563" s="9"/>
      <c r="M2563" s="9"/>
    </row>
    <row r="2564">
      <c r="J2564" s="9"/>
      <c r="K2564" s="9"/>
      <c r="L2564" s="9"/>
      <c r="M2564" s="9"/>
    </row>
    <row r="2565">
      <c r="J2565" s="9"/>
      <c r="K2565" s="9"/>
      <c r="L2565" s="9"/>
      <c r="M2565" s="9"/>
    </row>
    <row r="2566">
      <c r="J2566" s="9"/>
      <c r="K2566" s="9"/>
      <c r="L2566" s="9"/>
      <c r="M2566" s="9"/>
    </row>
    <row r="2567">
      <c r="J2567" s="9"/>
      <c r="K2567" s="9"/>
      <c r="L2567" s="9"/>
      <c r="M2567" s="9"/>
    </row>
    <row r="2568">
      <c r="J2568" s="9"/>
      <c r="K2568" s="9"/>
      <c r="L2568" s="9"/>
      <c r="M2568" s="9"/>
    </row>
    <row r="2569">
      <c r="J2569" s="9"/>
      <c r="K2569" s="9"/>
      <c r="L2569" s="9"/>
      <c r="M2569" s="9"/>
    </row>
    <row r="2570">
      <c r="J2570" s="9"/>
      <c r="K2570" s="9"/>
      <c r="L2570" s="9"/>
      <c r="M2570" s="9"/>
    </row>
    <row r="2571">
      <c r="J2571" s="9"/>
      <c r="K2571" s="9"/>
      <c r="L2571" s="9"/>
      <c r="M2571" s="9"/>
    </row>
    <row r="2572">
      <c r="J2572" s="9"/>
      <c r="K2572" s="9"/>
      <c r="L2572" s="9"/>
      <c r="M2572" s="9"/>
    </row>
    <row r="2573">
      <c r="J2573" s="9"/>
      <c r="K2573" s="9"/>
      <c r="L2573" s="9"/>
      <c r="M2573" s="9"/>
    </row>
    <row r="2574">
      <c r="J2574" s="9"/>
      <c r="K2574" s="9"/>
      <c r="L2574" s="9"/>
      <c r="M2574" s="9"/>
    </row>
    <row r="2575">
      <c r="J2575" s="9"/>
      <c r="K2575" s="9"/>
      <c r="L2575" s="9"/>
      <c r="M2575" s="9"/>
    </row>
    <row r="2576">
      <c r="J2576" s="9"/>
      <c r="K2576" s="9"/>
      <c r="L2576" s="9"/>
      <c r="M2576" s="9"/>
    </row>
    <row r="2577">
      <c r="J2577" s="9"/>
      <c r="K2577" s="9"/>
      <c r="L2577" s="9"/>
      <c r="M2577" s="9"/>
    </row>
    <row r="2578">
      <c r="J2578" s="9"/>
      <c r="K2578" s="9"/>
      <c r="L2578" s="9"/>
      <c r="M2578" s="9"/>
    </row>
    <row r="2579">
      <c r="J2579" s="9"/>
      <c r="K2579" s="9"/>
      <c r="L2579" s="9"/>
      <c r="M2579" s="9"/>
    </row>
    <row r="2580">
      <c r="J2580" s="9"/>
      <c r="K2580" s="9"/>
      <c r="L2580" s="9"/>
      <c r="M2580" s="9"/>
    </row>
    <row r="2581">
      <c r="J2581" s="9"/>
      <c r="K2581" s="9"/>
      <c r="L2581" s="9"/>
      <c r="M2581" s="9"/>
    </row>
    <row r="2582">
      <c r="J2582" s="9"/>
      <c r="K2582" s="9"/>
      <c r="L2582" s="9"/>
      <c r="M2582" s="9"/>
    </row>
    <row r="2583">
      <c r="J2583" s="9"/>
      <c r="K2583" s="9"/>
      <c r="L2583" s="9"/>
      <c r="M2583" s="9"/>
    </row>
    <row r="2584">
      <c r="J2584" s="9"/>
      <c r="K2584" s="9"/>
      <c r="L2584" s="9"/>
      <c r="M2584" s="9"/>
    </row>
    <row r="2585">
      <c r="J2585" s="9"/>
      <c r="K2585" s="9"/>
      <c r="L2585" s="9"/>
      <c r="M2585" s="9"/>
    </row>
    <row r="2586">
      <c r="J2586" s="9"/>
      <c r="K2586" s="9"/>
      <c r="L2586" s="9"/>
      <c r="M2586" s="9"/>
    </row>
    <row r="2587">
      <c r="J2587" s="9"/>
      <c r="K2587" s="9"/>
      <c r="L2587" s="9"/>
      <c r="M2587" s="9"/>
    </row>
    <row r="2588">
      <c r="J2588" s="9"/>
      <c r="K2588" s="9"/>
      <c r="L2588" s="9"/>
      <c r="M2588" s="9"/>
    </row>
    <row r="2589">
      <c r="J2589" s="9"/>
      <c r="K2589" s="9"/>
      <c r="L2589" s="9"/>
      <c r="M2589" s="9"/>
    </row>
    <row r="2590">
      <c r="J2590" s="9"/>
      <c r="K2590" s="9"/>
      <c r="L2590" s="9"/>
      <c r="M2590" s="9"/>
    </row>
    <row r="2591">
      <c r="J2591" s="9"/>
      <c r="K2591" s="9"/>
      <c r="L2591" s="9"/>
      <c r="M2591" s="9"/>
    </row>
    <row r="2592">
      <c r="J2592" s="9"/>
      <c r="K2592" s="9"/>
      <c r="L2592" s="9"/>
      <c r="M2592" s="9"/>
    </row>
    <row r="2593">
      <c r="J2593" s="9"/>
      <c r="K2593" s="9"/>
      <c r="L2593" s="9"/>
      <c r="M2593" s="9"/>
    </row>
    <row r="2594">
      <c r="J2594" s="9"/>
      <c r="K2594" s="9"/>
      <c r="L2594" s="9"/>
      <c r="M2594" s="9"/>
    </row>
    <row r="2595">
      <c r="J2595" s="9"/>
      <c r="K2595" s="9"/>
      <c r="L2595" s="9"/>
      <c r="M2595" s="9"/>
    </row>
    <row r="2596">
      <c r="J2596" s="9"/>
      <c r="K2596" s="9"/>
      <c r="L2596" s="9"/>
      <c r="M2596" s="9"/>
    </row>
    <row r="2597">
      <c r="J2597" s="9"/>
      <c r="K2597" s="9"/>
      <c r="L2597" s="9"/>
      <c r="M2597" s="9"/>
    </row>
    <row r="2598">
      <c r="J2598" s="9"/>
      <c r="K2598" s="9"/>
      <c r="L2598" s="9"/>
      <c r="M2598" s="9"/>
    </row>
    <row r="2599">
      <c r="J2599" s="9"/>
      <c r="K2599" s="9"/>
      <c r="L2599" s="9"/>
      <c r="M2599" s="9"/>
    </row>
    <row r="2600">
      <c r="J2600" s="9"/>
      <c r="K2600" s="9"/>
      <c r="L2600" s="9"/>
      <c r="M2600" s="9"/>
    </row>
    <row r="2601">
      <c r="J2601" s="9"/>
      <c r="K2601" s="9"/>
      <c r="L2601" s="9"/>
      <c r="M2601" s="9"/>
    </row>
    <row r="2602">
      <c r="J2602" s="9"/>
      <c r="K2602" s="9"/>
      <c r="L2602" s="9"/>
      <c r="M2602" s="9"/>
    </row>
    <row r="2603">
      <c r="J2603" s="9"/>
      <c r="K2603" s="9"/>
      <c r="L2603" s="9"/>
      <c r="M2603" s="9"/>
    </row>
    <row r="2604">
      <c r="J2604" s="9"/>
      <c r="K2604" s="9"/>
      <c r="L2604" s="9"/>
      <c r="M2604" s="9"/>
    </row>
    <row r="2605">
      <c r="J2605" s="9"/>
      <c r="K2605" s="9"/>
      <c r="L2605" s="9"/>
      <c r="M2605" s="9"/>
    </row>
    <row r="2606">
      <c r="J2606" s="9"/>
      <c r="K2606" s="9"/>
      <c r="L2606" s="9"/>
      <c r="M2606" s="9"/>
    </row>
    <row r="2607">
      <c r="J2607" s="9"/>
      <c r="K2607" s="9"/>
      <c r="L2607" s="9"/>
      <c r="M2607" s="9"/>
    </row>
    <row r="2608">
      <c r="J2608" s="9"/>
      <c r="K2608" s="9"/>
      <c r="L2608" s="9"/>
      <c r="M2608" s="9"/>
    </row>
    <row r="2609">
      <c r="J2609" s="9"/>
      <c r="K2609" s="9"/>
      <c r="L2609" s="9"/>
      <c r="M2609" s="9"/>
    </row>
    <row r="2610">
      <c r="J2610" s="9"/>
      <c r="K2610" s="9"/>
      <c r="L2610" s="9"/>
      <c r="M2610" s="9"/>
    </row>
    <row r="2611">
      <c r="J2611" s="9"/>
      <c r="K2611" s="9"/>
      <c r="L2611" s="9"/>
      <c r="M2611" s="9"/>
    </row>
    <row r="2612">
      <c r="J2612" s="9"/>
      <c r="K2612" s="9"/>
      <c r="L2612" s="9"/>
      <c r="M2612" s="9"/>
    </row>
    <row r="2613">
      <c r="J2613" s="9"/>
      <c r="K2613" s="9"/>
      <c r="L2613" s="9"/>
      <c r="M2613" s="9"/>
    </row>
    <row r="2614">
      <c r="J2614" s="9"/>
      <c r="K2614" s="9"/>
      <c r="L2614" s="9"/>
      <c r="M2614" s="9"/>
    </row>
    <row r="2615">
      <c r="J2615" s="9"/>
      <c r="K2615" s="9"/>
      <c r="L2615" s="9"/>
      <c r="M2615" s="9"/>
    </row>
    <row r="2616">
      <c r="J2616" s="9"/>
      <c r="K2616" s="9"/>
      <c r="L2616" s="9"/>
      <c r="M2616" s="9"/>
    </row>
    <row r="2617">
      <c r="J2617" s="9"/>
      <c r="K2617" s="9"/>
      <c r="L2617" s="9"/>
      <c r="M2617" s="9"/>
    </row>
    <row r="2618">
      <c r="J2618" s="9"/>
      <c r="K2618" s="9"/>
      <c r="L2618" s="9"/>
      <c r="M2618" s="9"/>
    </row>
    <row r="2619">
      <c r="J2619" s="9"/>
      <c r="K2619" s="9"/>
      <c r="L2619" s="9"/>
      <c r="M2619" s="9"/>
    </row>
    <row r="2620">
      <c r="J2620" s="9"/>
      <c r="K2620" s="9"/>
      <c r="L2620" s="9"/>
      <c r="M2620" s="9"/>
    </row>
    <row r="2621">
      <c r="J2621" s="9"/>
      <c r="K2621" s="9"/>
      <c r="L2621" s="9"/>
      <c r="M2621" s="9"/>
    </row>
    <row r="2622">
      <c r="J2622" s="9"/>
      <c r="K2622" s="9"/>
      <c r="L2622" s="9"/>
      <c r="M2622" s="9"/>
    </row>
    <row r="2623">
      <c r="J2623" s="9"/>
      <c r="K2623" s="9"/>
      <c r="L2623" s="9"/>
      <c r="M2623" s="9"/>
    </row>
    <row r="2624">
      <c r="J2624" s="9"/>
      <c r="K2624" s="9"/>
      <c r="L2624" s="9"/>
      <c r="M2624" s="9"/>
    </row>
    <row r="2625">
      <c r="J2625" s="9"/>
      <c r="K2625" s="9"/>
      <c r="L2625" s="9"/>
      <c r="M2625" s="9"/>
    </row>
    <row r="2626">
      <c r="J2626" s="9"/>
      <c r="K2626" s="9"/>
      <c r="L2626" s="9"/>
      <c r="M2626" s="9"/>
    </row>
    <row r="2627">
      <c r="J2627" s="9"/>
      <c r="K2627" s="9"/>
      <c r="L2627" s="9"/>
      <c r="M2627" s="9"/>
    </row>
    <row r="2628">
      <c r="J2628" s="9"/>
      <c r="K2628" s="9"/>
      <c r="L2628" s="9"/>
      <c r="M2628" s="9"/>
    </row>
    <row r="2629">
      <c r="J2629" s="9"/>
      <c r="K2629" s="9"/>
      <c r="L2629" s="9"/>
      <c r="M2629" s="9"/>
    </row>
    <row r="2630">
      <c r="J2630" s="9"/>
      <c r="K2630" s="9"/>
      <c r="L2630" s="9"/>
      <c r="M2630" s="9"/>
    </row>
    <row r="2631">
      <c r="J2631" s="9"/>
      <c r="K2631" s="9"/>
      <c r="L2631" s="9"/>
      <c r="M2631" s="9"/>
    </row>
    <row r="2632">
      <c r="J2632" s="9"/>
      <c r="K2632" s="9"/>
      <c r="L2632" s="9"/>
      <c r="M2632" s="9"/>
    </row>
    <row r="2633">
      <c r="J2633" s="9"/>
      <c r="K2633" s="9"/>
      <c r="L2633" s="9"/>
      <c r="M2633" s="9"/>
    </row>
    <row r="2634">
      <c r="J2634" s="9"/>
      <c r="K2634" s="9"/>
      <c r="L2634" s="9"/>
      <c r="M2634" s="9"/>
    </row>
    <row r="2635">
      <c r="J2635" s="9"/>
      <c r="K2635" s="9"/>
      <c r="L2635" s="9"/>
      <c r="M2635" s="9"/>
    </row>
    <row r="2636">
      <c r="J2636" s="9"/>
      <c r="K2636" s="9"/>
      <c r="L2636" s="9"/>
      <c r="M2636" s="9"/>
    </row>
    <row r="2637">
      <c r="J2637" s="9"/>
      <c r="K2637" s="9"/>
      <c r="L2637" s="9"/>
      <c r="M2637" s="9"/>
    </row>
    <row r="2638">
      <c r="J2638" s="9"/>
      <c r="K2638" s="9"/>
      <c r="L2638" s="9"/>
      <c r="M2638" s="9"/>
    </row>
    <row r="2639">
      <c r="J2639" s="9"/>
      <c r="K2639" s="9"/>
      <c r="L2639" s="9"/>
      <c r="M2639" s="9"/>
    </row>
    <row r="2640">
      <c r="J2640" s="9"/>
      <c r="K2640" s="9"/>
      <c r="L2640" s="9"/>
      <c r="M2640" s="9"/>
    </row>
    <row r="2641">
      <c r="J2641" s="9"/>
      <c r="K2641" s="9"/>
      <c r="L2641" s="9"/>
      <c r="M2641" s="9"/>
    </row>
    <row r="2642">
      <c r="J2642" s="9"/>
      <c r="K2642" s="9"/>
      <c r="L2642" s="9"/>
      <c r="M2642" s="9"/>
    </row>
    <row r="2643">
      <c r="J2643" s="9"/>
      <c r="K2643" s="9"/>
      <c r="L2643" s="9"/>
      <c r="M2643" s="9"/>
    </row>
    <row r="2644">
      <c r="J2644" s="9"/>
      <c r="K2644" s="9"/>
      <c r="L2644" s="9"/>
      <c r="M2644" s="9"/>
    </row>
    <row r="2645">
      <c r="J2645" s="9"/>
      <c r="K2645" s="9"/>
      <c r="L2645" s="9"/>
      <c r="M2645" s="9"/>
    </row>
    <row r="2646">
      <c r="J2646" s="9"/>
      <c r="K2646" s="9"/>
      <c r="L2646" s="9"/>
      <c r="M2646" s="9"/>
    </row>
    <row r="2647">
      <c r="J2647" s="9"/>
      <c r="K2647" s="9"/>
      <c r="L2647" s="9"/>
      <c r="M2647" s="9"/>
    </row>
    <row r="2648">
      <c r="J2648" s="9"/>
      <c r="K2648" s="9"/>
      <c r="L2648" s="9"/>
      <c r="M2648" s="9"/>
    </row>
    <row r="2649">
      <c r="J2649" s="9"/>
      <c r="K2649" s="9"/>
      <c r="L2649" s="9"/>
      <c r="M2649" s="9"/>
    </row>
    <row r="2650">
      <c r="J2650" s="9"/>
      <c r="K2650" s="9"/>
      <c r="L2650" s="9"/>
      <c r="M2650" s="9"/>
    </row>
    <row r="2651">
      <c r="J2651" s="9"/>
      <c r="K2651" s="9"/>
      <c r="L2651" s="9"/>
      <c r="M2651" s="9"/>
    </row>
    <row r="2652">
      <c r="J2652" s="9"/>
      <c r="K2652" s="9"/>
      <c r="L2652" s="9"/>
      <c r="M2652" s="9"/>
    </row>
    <row r="2653">
      <c r="J2653" s="9"/>
      <c r="K2653" s="9"/>
      <c r="L2653" s="9"/>
      <c r="M2653" s="9"/>
    </row>
    <row r="2654">
      <c r="J2654" s="9"/>
      <c r="K2654" s="9"/>
      <c r="L2654" s="9"/>
      <c r="M2654" s="9"/>
    </row>
    <row r="2655">
      <c r="J2655" s="9"/>
      <c r="K2655" s="9"/>
      <c r="L2655" s="9"/>
      <c r="M2655" s="9"/>
    </row>
    <row r="2656">
      <c r="J2656" s="9"/>
      <c r="K2656" s="9"/>
      <c r="L2656" s="9"/>
      <c r="M2656" s="9"/>
    </row>
    <row r="2657">
      <c r="J2657" s="9"/>
      <c r="K2657" s="9"/>
      <c r="L2657" s="9"/>
      <c r="M2657" s="9"/>
    </row>
    <row r="2658">
      <c r="J2658" s="9"/>
      <c r="K2658" s="9"/>
      <c r="L2658" s="9"/>
      <c r="M2658" s="9"/>
    </row>
    <row r="2659">
      <c r="J2659" s="9"/>
      <c r="K2659" s="9"/>
      <c r="L2659" s="9"/>
      <c r="M2659" s="9"/>
    </row>
    <row r="2660">
      <c r="J2660" s="9"/>
      <c r="K2660" s="9"/>
      <c r="L2660" s="9"/>
      <c r="M2660" s="9"/>
    </row>
    <row r="2661">
      <c r="J2661" s="9"/>
      <c r="K2661" s="9"/>
      <c r="L2661" s="9"/>
      <c r="M2661" s="9"/>
    </row>
    <row r="2662">
      <c r="J2662" s="9"/>
      <c r="K2662" s="9"/>
      <c r="L2662" s="9"/>
      <c r="M2662" s="9"/>
    </row>
    <row r="2663">
      <c r="J2663" s="9"/>
      <c r="K2663" s="9"/>
      <c r="L2663" s="9"/>
      <c r="M2663" s="9"/>
    </row>
    <row r="2664">
      <c r="J2664" s="9"/>
      <c r="K2664" s="9"/>
      <c r="L2664" s="9"/>
      <c r="M2664" s="9"/>
    </row>
    <row r="2665">
      <c r="J2665" s="9"/>
      <c r="K2665" s="9"/>
      <c r="L2665" s="9"/>
      <c r="M2665" s="9"/>
    </row>
    <row r="2666">
      <c r="J2666" s="9"/>
      <c r="K2666" s="9"/>
      <c r="L2666" s="9"/>
      <c r="M2666" s="9"/>
    </row>
    <row r="2667">
      <c r="J2667" s="9"/>
      <c r="K2667" s="9"/>
      <c r="L2667" s="9"/>
      <c r="M2667" s="9"/>
    </row>
    <row r="2668">
      <c r="J2668" s="9"/>
      <c r="K2668" s="9"/>
      <c r="L2668" s="9"/>
      <c r="M2668" s="9"/>
    </row>
    <row r="2669">
      <c r="J2669" s="9"/>
      <c r="K2669" s="9"/>
      <c r="L2669" s="9"/>
      <c r="M2669" s="9"/>
    </row>
    <row r="2670">
      <c r="J2670" s="9"/>
      <c r="K2670" s="9"/>
      <c r="L2670" s="9"/>
      <c r="M2670" s="9"/>
    </row>
    <row r="2671">
      <c r="J2671" s="9"/>
      <c r="K2671" s="9"/>
      <c r="L2671" s="9"/>
      <c r="M2671" s="9"/>
    </row>
    <row r="2672">
      <c r="J2672" s="9"/>
      <c r="K2672" s="9"/>
      <c r="L2672" s="9"/>
      <c r="M2672" s="9"/>
    </row>
    <row r="2673">
      <c r="J2673" s="9"/>
      <c r="K2673" s="9"/>
      <c r="L2673" s="9"/>
      <c r="M2673" s="9"/>
    </row>
    <row r="2674">
      <c r="J2674" s="9"/>
      <c r="K2674" s="9"/>
      <c r="L2674" s="9"/>
      <c r="M2674" s="9"/>
    </row>
    <row r="2675">
      <c r="J2675" s="9"/>
      <c r="K2675" s="9"/>
      <c r="L2675" s="9"/>
      <c r="M2675" s="9"/>
    </row>
    <row r="2676">
      <c r="J2676" s="9"/>
      <c r="K2676" s="9"/>
      <c r="L2676" s="9"/>
      <c r="M2676" s="9"/>
    </row>
    <row r="2677">
      <c r="J2677" s="9"/>
      <c r="K2677" s="9"/>
      <c r="L2677" s="9"/>
      <c r="M2677" s="9"/>
    </row>
    <row r="2678">
      <c r="J2678" s="9"/>
      <c r="K2678" s="9"/>
      <c r="L2678" s="9"/>
      <c r="M2678" s="9"/>
    </row>
    <row r="2679">
      <c r="J2679" s="9"/>
      <c r="K2679" s="9"/>
      <c r="L2679" s="9"/>
      <c r="M2679" s="9"/>
    </row>
    <row r="2680">
      <c r="J2680" s="9"/>
      <c r="K2680" s="9"/>
      <c r="L2680" s="9"/>
      <c r="M2680" s="9"/>
    </row>
    <row r="2681">
      <c r="J2681" s="9"/>
      <c r="K2681" s="9"/>
      <c r="L2681" s="9"/>
      <c r="M2681" s="9"/>
    </row>
    <row r="2682">
      <c r="J2682" s="9"/>
      <c r="K2682" s="9"/>
      <c r="L2682" s="9"/>
      <c r="M2682" s="9"/>
    </row>
    <row r="2683">
      <c r="J2683" s="9"/>
      <c r="K2683" s="9"/>
      <c r="L2683" s="9"/>
      <c r="M2683" s="9"/>
    </row>
    <row r="2684">
      <c r="J2684" s="9"/>
      <c r="K2684" s="9"/>
      <c r="L2684" s="9"/>
      <c r="M2684" s="9"/>
    </row>
    <row r="2685">
      <c r="J2685" s="9"/>
      <c r="K2685" s="9"/>
      <c r="L2685" s="9"/>
      <c r="M2685" s="9"/>
    </row>
    <row r="2686">
      <c r="J2686" s="9"/>
      <c r="K2686" s="9"/>
      <c r="L2686" s="9"/>
      <c r="M2686" s="9"/>
    </row>
    <row r="2687">
      <c r="J2687" s="9"/>
      <c r="K2687" s="9"/>
      <c r="L2687" s="9"/>
      <c r="M2687" s="9"/>
    </row>
    <row r="2688">
      <c r="J2688" s="9"/>
      <c r="K2688" s="9"/>
      <c r="L2688" s="9"/>
      <c r="M2688" s="9"/>
    </row>
    <row r="2689">
      <c r="J2689" s="9"/>
      <c r="K2689" s="9"/>
      <c r="L2689" s="9"/>
      <c r="M2689" s="9"/>
    </row>
    <row r="2690">
      <c r="J2690" s="9"/>
      <c r="K2690" s="9"/>
      <c r="L2690" s="9"/>
      <c r="M2690" s="9"/>
    </row>
    <row r="2691">
      <c r="J2691" s="9"/>
      <c r="K2691" s="9"/>
      <c r="L2691" s="9"/>
      <c r="M2691" s="9"/>
    </row>
    <row r="2692">
      <c r="J2692" s="9"/>
      <c r="K2692" s="9"/>
      <c r="L2692" s="9"/>
      <c r="M2692" s="9"/>
    </row>
    <row r="2693">
      <c r="J2693" s="9"/>
      <c r="K2693" s="9"/>
      <c r="L2693" s="9"/>
      <c r="M2693" s="9"/>
    </row>
    <row r="2694">
      <c r="J2694" s="9"/>
      <c r="K2694" s="9"/>
      <c r="L2694" s="9"/>
      <c r="M2694" s="9"/>
    </row>
    <row r="2695">
      <c r="J2695" s="9"/>
      <c r="K2695" s="9"/>
      <c r="L2695" s="9"/>
      <c r="M2695" s="9"/>
    </row>
    <row r="2696">
      <c r="J2696" s="9"/>
      <c r="K2696" s="9"/>
      <c r="L2696" s="9"/>
      <c r="M2696" s="9"/>
    </row>
    <row r="2697">
      <c r="J2697" s="9"/>
      <c r="K2697" s="9"/>
      <c r="L2697" s="9"/>
      <c r="M2697" s="9"/>
    </row>
    <row r="2698">
      <c r="J2698" s="9"/>
      <c r="K2698" s="9"/>
      <c r="L2698" s="9"/>
      <c r="M2698" s="9"/>
    </row>
    <row r="2699">
      <c r="J2699" s="9"/>
      <c r="K2699" s="9"/>
      <c r="L2699" s="9"/>
      <c r="M2699" s="9"/>
    </row>
    <row r="2700">
      <c r="J2700" s="9"/>
      <c r="K2700" s="9"/>
      <c r="L2700" s="9"/>
      <c r="M2700" s="9"/>
    </row>
    <row r="2701">
      <c r="J2701" s="9"/>
      <c r="K2701" s="9"/>
      <c r="L2701" s="9"/>
      <c r="M2701" s="9"/>
    </row>
    <row r="2702">
      <c r="J2702" s="9"/>
      <c r="K2702" s="9"/>
      <c r="L2702" s="9"/>
      <c r="M2702" s="9"/>
    </row>
    <row r="2703">
      <c r="J2703" s="9"/>
      <c r="K2703" s="9"/>
      <c r="L2703" s="9"/>
      <c r="M2703" s="9"/>
    </row>
    <row r="2704">
      <c r="J2704" s="9"/>
      <c r="K2704" s="9"/>
      <c r="L2704" s="9"/>
      <c r="M2704" s="9"/>
    </row>
    <row r="2705">
      <c r="J2705" s="9"/>
      <c r="K2705" s="9"/>
      <c r="L2705" s="9"/>
      <c r="M2705" s="9"/>
    </row>
    <row r="2706">
      <c r="J2706" s="9"/>
      <c r="K2706" s="9"/>
      <c r="L2706" s="9"/>
      <c r="M2706" s="9"/>
    </row>
    <row r="2707">
      <c r="J2707" s="9"/>
      <c r="K2707" s="9"/>
      <c r="L2707" s="9"/>
      <c r="M2707" s="9"/>
    </row>
    <row r="2708">
      <c r="J2708" s="9"/>
      <c r="K2708" s="9"/>
      <c r="L2708" s="9"/>
      <c r="M2708" s="9"/>
    </row>
    <row r="2709">
      <c r="J2709" s="9"/>
      <c r="K2709" s="9"/>
      <c r="L2709" s="9"/>
      <c r="M2709" s="9"/>
    </row>
    <row r="2710">
      <c r="J2710" s="9"/>
      <c r="K2710" s="9"/>
      <c r="L2710" s="9"/>
      <c r="M2710" s="9"/>
    </row>
    <row r="2711">
      <c r="J2711" s="9"/>
      <c r="K2711" s="9"/>
      <c r="L2711" s="9"/>
      <c r="M2711" s="9"/>
    </row>
    <row r="2712">
      <c r="J2712" s="9"/>
      <c r="K2712" s="9"/>
      <c r="L2712" s="9"/>
      <c r="M2712" s="9"/>
    </row>
    <row r="2713">
      <c r="J2713" s="9"/>
      <c r="K2713" s="9"/>
      <c r="L2713" s="9"/>
      <c r="M2713" s="9"/>
    </row>
    <row r="2714">
      <c r="J2714" s="9"/>
      <c r="K2714" s="9"/>
      <c r="L2714" s="9"/>
      <c r="M2714" s="9"/>
    </row>
    <row r="2715">
      <c r="J2715" s="9"/>
      <c r="K2715" s="9"/>
      <c r="L2715" s="9"/>
      <c r="M2715" s="9"/>
    </row>
    <row r="2716">
      <c r="J2716" s="9"/>
      <c r="K2716" s="9"/>
      <c r="L2716" s="9"/>
      <c r="M2716" s="9"/>
    </row>
    <row r="2717">
      <c r="J2717" s="9"/>
      <c r="K2717" s="9"/>
      <c r="L2717" s="9"/>
      <c r="M2717" s="9"/>
    </row>
    <row r="2718">
      <c r="J2718" s="9"/>
      <c r="K2718" s="9"/>
      <c r="L2718" s="9"/>
      <c r="M2718" s="9"/>
    </row>
    <row r="2719">
      <c r="J2719" s="9"/>
      <c r="K2719" s="9"/>
      <c r="L2719" s="9"/>
      <c r="M2719" s="9"/>
    </row>
    <row r="2720">
      <c r="J2720" s="9"/>
      <c r="K2720" s="9"/>
      <c r="L2720" s="9"/>
      <c r="M2720" s="9"/>
    </row>
    <row r="2721">
      <c r="J2721" s="9"/>
      <c r="K2721" s="9"/>
      <c r="L2721" s="9"/>
      <c r="M2721" s="9"/>
    </row>
    <row r="2722">
      <c r="J2722" s="9"/>
      <c r="K2722" s="9"/>
      <c r="L2722" s="9"/>
      <c r="M2722" s="9"/>
    </row>
    <row r="2723">
      <c r="J2723" s="9"/>
      <c r="K2723" s="9"/>
      <c r="L2723" s="9"/>
      <c r="M2723" s="9"/>
    </row>
    <row r="2724">
      <c r="J2724" s="9"/>
      <c r="K2724" s="9"/>
      <c r="L2724" s="9"/>
      <c r="M2724" s="9"/>
    </row>
    <row r="2725">
      <c r="J2725" s="9"/>
      <c r="K2725" s="9"/>
      <c r="L2725" s="9"/>
      <c r="M2725" s="9"/>
    </row>
    <row r="2726">
      <c r="J2726" s="9"/>
      <c r="K2726" s="9"/>
      <c r="L2726" s="9"/>
      <c r="M2726" s="9"/>
    </row>
    <row r="2727">
      <c r="J2727" s="9"/>
      <c r="K2727" s="9"/>
      <c r="L2727" s="9"/>
      <c r="M2727" s="9"/>
    </row>
    <row r="2728">
      <c r="J2728" s="9"/>
      <c r="K2728" s="9"/>
      <c r="L2728" s="9"/>
      <c r="M2728" s="9"/>
    </row>
    <row r="2729">
      <c r="J2729" s="9"/>
      <c r="K2729" s="9"/>
      <c r="L2729" s="9"/>
      <c r="M2729" s="9"/>
    </row>
    <row r="2730">
      <c r="J2730" s="9"/>
      <c r="K2730" s="9"/>
      <c r="L2730" s="9"/>
      <c r="M2730" s="9"/>
    </row>
    <row r="2731">
      <c r="J2731" s="9"/>
      <c r="K2731" s="9"/>
      <c r="L2731" s="9"/>
      <c r="M2731" s="9"/>
    </row>
    <row r="2732">
      <c r="J2732" s="9"/>
      <c r="K2732" s="9"/>
      <c r="L2732" s="9"/>
      <c r="M2732" s="9"/>
    </row>
    <row r="2733">
      <c r="J2733" s="9"/>
      <c r="K2733" s="9"/>
      <c r="L2733" s="9"/>
      <c r="M2733" s="9"/>
    </row>
    <row r="2734">
      <c r="J2734" s="9"/>
      <c r="K2734" s="9"/>
      <c r="L2734" s="9"/>
      <c r="M2734" s="9"/>
    </row>
    <row r="2735">
      <c r="J2735" s="9"/>
      <c r="K2735" s="9"/>
      <c r="L2735" s="9"/>
      <c r="M2735" s="9"/>
    </row>
    <row r="2736">
      <c r="J2736" s="9"/>
      <c r="K2736" s="9"/>
      <c r="L2736" s="9"/>
      <c r="M2736" s="9"/>
    </row>
    <row r="2737">
      <c r="J2737" s="9"/>
      <c r="K2737" s="9"/>
      <c r="L2737" s="9"/>
      <c r="M2737" s="9"/>
    </row>
    <row r="2738">
      <c r="J2738" s="9"/>
      <c r="K2738" s="9"/>
      <c r="L2738" s="9"/>
      <c r="M2738" s="9"/>
    </row>
    <row r="2739">
      <c r="J2739" s="9"/>
      <c r="K2739" s="9"/>
      <c r="L2739" s="9"/>
      <c r="M2739" s="9"/>
    </row>
    <row r="2740">
      <c r="J2740" s="9"/>
      <c r="K2740" s="9"/>
      <c r="L2740" s="9"/>
      <c r="M2740" s="9"/>
    </row>
    <row r="2741">
      <c r="J2741" s="9"/>
      <c r="K2741" s="9"/>
      <c r="L2741" s="9"/>
      <c r="M2741" s="9"/>
    </row>
    <row r="2742">
      <c r="J2742" s="9"/>
      <c r="K2742" s="9"/>
      <c r="L2742" s="9"/>
      <c r="M2742" s="9"/>
    </row>
    <row r="2743">
      <c r="J2743" s="9"/>
      <c r="K2743" s="9"/>
      <c r="L2743" s="9"/>
      <c r="M2743" s="9"/>
    </row>
    <row r="2744">
      <c r="J2744" s="9"/>
      <c r="K2744" s="9"/>
      <c r="L2744" s="9"/>
      <c r="M2744" s="9"/>
    </row>
    <row r="2745">
      <c r="J2745" s="9"/>
      <c r="K2745" s="9"/>
      <c r="L2745" s="9"/>
      <c r="M2745" s="9"/>
    </row>
    <row r="2746">
      <c r="J2746" s="9"/>
      <c r="K2746" s="9"/>
      <c r="L2746" s="9"/>
      <c r="M2746" s="9"/>
    </row>
    <row r="2747">
      <c r="J2747" s="9"/>
      <c r="K2747" s="9"/>
      <c r="L2747" s="9"/>
      <c r="M2747" s="9"/>
    </row>
    <row r="2748">
      <c r="J2748" s="9"/>
      <c r="K2748" s="9"/>
      <c r="L2748" s="9"/>
      <c r="M2748" s="9"/>
    </row>
    <row r="2749">
      <c r="J2749" s="9"/>
      <c r="K2749" s="9"/>
      <c r="L2749" s="9"/>
      <c r="M2749" s="9"/>
    </row>
    <row r="2750">
      <c r="J2750" s="9"/>
      <c r="K2750" s="9"/>
      <c r="L2750" s="9"/>
      <c r="M2750" s="9"/>
    </row>
    <row r="2751">
      <c r="J2751" s="9"/>
      <c r="K2751" s="9"/>
      <c r="L2751" s="9"/>
      <c r="M2751" s="9"/>
    </row>
    <row r="2752">
      <c r="J2752" s="9"/>
      <c r="K2752" s="9"/>
      <c r="L2752" s="9"/>
      <c r="M2752" s="9"/>
    </row>
    <row r="2753">
      <c r="J2753" s="9"/>
      <c r="K2753" s="9"/>
      <c r="L2753" s="9"/>
      <c r="M2753" s="9"/>
    </row>
    <row r="2754">
      <c r="J2754" s="9"/>
      <c r="K2754" s="9"/>
      <c r="L2754" s="9"/>
      <c r="M2754" s="9"/>
    </row>
    <row r="2755">
      <c r="J2755" s="9"/>
      <c r="K2755" s="9"/>
      <c r="L2755" s="9"/>
      <c r="M2755" s="9"/>
    </row>
    <row r="2756">
      <c r="J2756" s="9"/>
      <c r="K2756" s="9"/>
      <c r="L2756" s="9"/>
      <c r="M2756" s="9"/>
    </row>
    <row r="2757">
      <c r="J2757" s="9"/>
      <c r="K2757" s="9"/>
      <c r="L2757" s="9"/>
      <c r="M2757" s="9"/>
    </row>
    <row r="2758">
      <c r="J2758" s="9"/>
      <c r="K2758" s="9"/>
      <c r="L2758" s="9"/>
      <c r="M2758" s="9"/>
    </row>
    <row r="2759">
      <c r="J2759" s="9"/>
      <c r="K2759" s="9"/>
      <c r="L2759" s="9"/>
      <c r="M2759" s="9"/>
    </row>
    <row r="2760">
      <c r="J2760" s="9"/>
      <c r="K2760" s="9"/>
      <c r="L2760" s="9"/>
      <c r="M2760" s="9"/>
    </row>
    <row r="2761">
      <c r="J2761" s="9"/>
      <c r="K2761" s="9"/>
      <c r="L2761" s="9"/>
      <c r="M2761" s="9"/>
    </row>
    <row r="2762">
      <c r="J2762" s="9"/>
      <c r="K2762" s="9"/>
      <c r="L2762" s="9"/>
      <c r="M2762" s="9"/>
    </row>
    <row r="2763">
      <c r="J2763" s="9"/>
      <c r="K2763" s="9"/>
      <c r="L2763" s="9"/>
      <c r="M2763" s="9"/>
    </row>
    <row r="2764">
      <c r="J2764" s="9"/>
      <c r="K2764" s="9"/>
      <c r="L2764" s="9"/>
      <c r="M2764" s="9"/>
    </row>
    <row r="2765">
      <c r="J2765" s="9"/>
      <c r="K2765" s="9"/>
      <c r="L2765" s="9"/>
      <c r="M2765" s="9"/>
    </row>
    <row r="2766">
      <c r="J2766" s="9"/>
      <c r="K2766" s="9"/>
      <c r="L2766" s="9"/>
      <c r="M2766" s="9"/>
    </row>
    <row r="2767">
      <c r="J2767" s="9"/>
      <c r="K2767" s="9"/>
      <c r="L2767" s="9"/>
      <c r="M2767" s="9"/>
    </row>
    <row r="2768">
      <c r="J2768" s="9"/>
      <c r="K2768" s="9"/>
      <c r="L2768" s="9"/>
      <c r="M2768" s="9"/>
    </row>
    <row r="2769">
      <c r="J2769" s="9"/>
      <c r="K2769" s="9"/>
      <c r="L2769" s="9"/>
      <c r="M2769" s="9"/>
    </row>
    <row r="2770">
      <c r="J2770" s="9"/>
      <c r="K2770" s="9"/>
      <c r="L2770" s="9"/>
      <c r="M2770" s="9"/>
    </row>
    <row r="2771">
      <c r="J2771" s="9"/>
      <c r="K2771" s="9"/>
      <c r="L2771" s="9"/>
      <c r="M2771" s="9"/>
    </row>
    <row r="2772">
      <c r="J2772" s="9"/>
      <c r="K2772" s="9"/>
      <c r="L2772" s="9"/>
      <c r="M2772" s="9"/>
    </row>
    <row r="2773">
      <c r="J2773" s="9"/>
      <c r="K2773" s="9"/>
      <c r="L2773" s="9"/>
      <c r="M2773" s="9"/>
    </row>
    <row r="2774">
      <c r="J2774" s="9"/>
      <c r="K2774" s="9"/>
      <c r="L2774" s="9"/>
      <c r="M2774" s="9"/>
    </row>
    <row r="2775">
      <c r="J2775" s="9"/>
      <c r="K2775" s="9"/>
      <c r="L2775" s="9"/>
      <c r="M2775" s="9"/>
    </row>
    <row r="2776">
      <c r="J2776" s="9"/>
      <c r="K2776" s="9"/>
      <c r="L2776" s="9"/>
      <c r="M2776" s="9"/>
    </row>
    <row r="2777">
      <c r="J2777" s="9"/>
      <c r="K2777" s="9"/>
      <c r="L2777" s="9"/>
      <c r="M2777" s="9"/>
    </row>
    <row r="2778">
      <c r="J2778" s="9"/>
      <c r="K2778" s="9"/>
      <c r="L2778" s="9"/>
      <c r="M2778" s="9"/>
    </row>
    <row r="2779">
      <c r="J2779" s="9"/>
      <c r="K2779" s="9"/>
      <c r="L2779" s="9"/>
      <c r="M2779" s="9"/>
    </row>
    <row r="2780">
      <c r="J2780" s="9"/>
      <c r="K2780" s="9"/>
      <c r="L2780" s="9"/>
      <c r="M2780" s="9"/>
    </row>
    <row r="2781">
      <c r="J2781" s="9"/>
      <c r="K2781" s="9"/>
      <c r="L2781" s="9"/>
      <c r="M2781" s="9"/>
    </row>
    <row r="2782">
      <c r="J2782" s="9"/>
      <c r="K2782" s="9"/>
      <c r="L2782" s="9"/>
      <c r="M2782" s="9"/>
    </row>
    <row r="2783">
      <c r="J2783" s="9"/>
      <c r="K2783" s="9"/>
      <c r="L2783" s="9"/>
      <c r="M2783" s="9"/>
    </row>
    <row r="2784">
      <c r="J2784" s="9"/>
      <c r="K2784" s="9"/>
      <c r="L2784" s="9"/>
      <c r="M2784" s="9"/>
    </row>
    <row r="2785">
      <c r="J2785" s="9"/>
      <c r="K2785" s="9"/>
      <c r="L2785" s="9"/>
      <c r="M2785" s="9"/>
    </row>
    <row r="2786">
      <c r="J2786" s="9"/>
      <c r="K2786" s="9"/>
      <c r="L2786" s="9"/>
      <c r="M2786" s="9"/>
    </row>
    <row r="2787">
      <c r="J2787" s="9"/>
      <c r="K2787" s="9"/>
      <c r="L2787" s="9"/>
      <c r="M2787" s="9"/>
    </row>
    <row r="2788">
      <c r="J2788" s="9"/>
      <c r="K2788" s="9"/>
      <c r="L2788" s="9"/>
      <c r="M2788" s="9"/>
    </row>
    <row r="2789">
      <c r="J2789" s="9"/>
      <c r="K2789" s="9"/>
      <c r="L2789" s="9"/>
      <c r="M2789" s="9"/>
    </row>
    <row r="2790">
      <c r="J2790" s="9"/>
      <c r="K2790" s="9"/>
      <c r="L2790" s="9"/>
      <c r="M2790" s="9"/>
    </row>
    <row r="2791">
      <c r="J2791" s="9"/>
      <c r="K2791" s="9"/>
      <c r="L2791" s="9"/>
      <c r="M2791" s="9"/>
    </row>
    <row r="2792">
      <c r="J2792" s="9"/>
      <c r="K2792" s="9"/>
      <c r="L2792" s="9"/>
      <c r="M2792" s="9"/>
    </row>
    <row r="2793">
      <c r="J2793" s="9"/>
      <c r="K2793" s="9"/>
      <c r="L2793" s="9"/>
      <c r="M2793" s="9"/>
    </row>
    <row r="2794">
      <c r="J2794" s="9"/>
      <c r="K2794" s="9"/>
      <c r="L2794" s="9"/>
      <c r="M2794" s="9"/>
    </row>
    <row r="2795">
      <c r="J2795" s="9"/>
      <c r="K2795" s="9"/>
      <c r="L2795" s="9"/>
      <c r="M2795" s="9"/>
    </row>
    <row r="2796">
      <c r="J2796" s="9"/>
      <c r="K2796" s="9"/>
      <c r="L2796" s="9"/>
      <c r="M2796" s="9"/>
    </row>
    <row r="2797">
      <c r="J2797" s="9"/>
      <c r="K2797" s="9"/>
      <c r="L2797" s="9"/>
      <c r="M2797" s="9"/>
    </row>
    <row r="2798">
      <c r="J2798" s="9"/>
      <c r="K2798" s="9"/>
      <c r="L2798" s="9"/>
      <c r="M2798" s="9"/>
    </row>
    <row r="2799">
      <c r="J2799" s="9"/>
      <c r="K2799" s="9"/>
      <c r="L2799" s="9"/>
      <c r="M2799" s="9"/>
    </row>
    <row r="2800">
      <c r="J2800" s="9"/>
      <c r="K2800" s="9"/>
      <c r="L2800" s="9"/>
      <c r="M2800" s="9"/>
    </row>
    <row r="2801">
      <c r="J2801" s="9"/>
      <c r="K2801" s="9"/>
      <c r="L2801" s="9"/>
      <c r="M2801" s="9"/>
    </row>
    <row r="2802">
      <c r="J2802" s="9"/>
      <c r="K2802" s="9"/>
      <c r="L2802" s="9"/>
      <c r="M2802" s="9"/>
    </row>
    <row r="2803">
      <c r="J2803" s="9"/>
      <c r="K2803" s="9"/>
      <c r="L2803" s="9"/>
      <c r="M2803" s="9"/>
    </row>
    <row r="2804">
      <c r="J2804" s="9"/>
      <c r="K2804" s="9"/>
      <c r="L2804" s="9"/>
      <c r="M2804" s="9"/>
    </row>
    <row r="2805">
      <c r="J2805" s="9"/>
      <c r="K2805" s="9"/>
      <c r="L2805" s="9"/>
      <c r="M2805" s="9"/>
    </row>
    <row r="2806">
      <c r="J2806" s="9"/>
      <c r="K2806" s="9"/>
      <c r="L2806" s="9"/>
      <c r="M2806" s="9"/>
    </row>
    <row r="2807">
      <c r="J2807" s="9"/>
      <c r="K2807" s="9"/>
      <c r="L2807" s="9"/>
      <c r="M2807" s="9"/>
    </row>
    <row r="2808">
      <c r="J2808" s="9"/>
      <c r="K2808" s="9"/>
      <c r="L2808" s="9"/>
      <c r="M2808" s="9"/>
    </row>
    <row r="2809">
      <c r="J2809" s="9"/>
      <c r="K2809" s="9"/>
      <c r="L2809" s="9"/>
      <c r="M2809" s="9"/>
    </row>
    <row r="2810">
      <c r="J2810" s="9"/>
      <c r="K2810" s="9"/>
      <c r="L2810" s="9"/>
      <c r="M2810" s="9"/>
    </row>
    <row r="2811">
      <c r="J2811" s="9"/>
      <c r="K2811" s="9"/>
      <c r="L2811" s="9"/>
      <c r="M2811" s="9"/>
    </row>
    <row r="2812">
      <c r="J2812" s="9"/>
      <c r="K2812" s="9"/>
      <c r="L2812" s="9"/>
      <c r="M2812" s="9"/>
    </row>
    <row r="2813">
      <c r="J2813" s="9"/>
      <c r="K2813" s="9"/>
      <c r="L2813" s="9"/>
      <c r="M2813" s="9"/>
    </row>
    <row r="2814">
      <c r="J2814" s="9"/>
      <c r="K2814" s="9"/>
      <c r="L2814" s="9"/>
      <c r="M2814" s="9"/>
    </row>
    <row r="2815">
      <c r="J2815" s="9"/>
      <c r="K2815" s="9"/>
      <c r="L2815" s="9"/>
      <c r="M2815" s="9"/>
    </row>
    <row r="2816">
      <c r="J2816" s="9"/>
      <c r="K2816" s="9"/>
      <c r="L2816" s="9"/>
      <c r="M2816" s="9"/>
    </row>
    <row r="2817">
      <c r="J2817" s="9"/>
      <c r="K2817" s="9"/>
      <c r="L2817" s="9"/>
      <c r="M2817" s="9"/>
    </row>
    <row r="2818">
      <c r="J2818" s="9"/>
      <c r="K2818" s="9"/>
      <c r="L2818" s="9"/>
      <c r="M2818" s="9"/>
    </row>
    <row r="2819">
      <c r="J2819" s="9"/>
      <c r="K2819" s="9"/>
      <c r="L2819" s="9"/>
      <c r="M2819" s="9"/>
    </row>
    <row r="2820">
      <c r="J2820" s="9"/>
      <c r="K2820" s="9"/>
      <c r="L2820" s="9"/>
      <c r="M2820" s="9"/>
    </row>
    <row r="2821">
      <c r="J2821" s="9"/>
      <c r="K2821" s="9"/>
      <c r="L2821" s="9"/>
      <c r="M2821" s="9"/>
    </row>
    <row r="2822">
      <c r="J2822" s="9"/>
      <c r="K2822" s="9"/>
      <c r="L2822" s="9"/>
      <c r="M2822" s="9"/>
    </row>
    <row r="2823">
      <c r="J2823" s="9"/>
      <c r="K2823" s="9"/>
      <c r="L2823" s="9"/>
      <c r="M2823" s="9"/>
    </row>
    <row r="2824">
      <c r="J2824" s="9"/>
      <c r="K2824" s="9"/>
      <c r="L2824" s="9"/>
      <c r="M2824" s="9"/>
    </row>
    <row r="2825">
      <c r="J2825" s="9"/>
      <c r="K2825" s="9"/>
      <c r="L2825" s="9"/>
      <c r="M2825" s="9"/>
    </row>
    <row r="2826">
      <c r="J2826" s="9"/>
      <c r="K2826" s="9"/>
      <c r="L2826" s="9"/>
      <c r="M2826" s="9"/>
    </row>
    <row r="2827">
      <c r="J2827" s="9"/>
      <c r="K2827" s="9"/>
      <c r="L2827" s="9"/>
      <c r="M2827" s="9"/>
    </row>
    <row r="2828">
      <c r="J2828" s="9"/>
      <c r="K2828" s="9"/>
      <c r="L2828" s="9"/>
      <c r="M2828" s="9"/>
    </row>
    <row r="2829">
      <c r="J2829" s="9"/>
      <c r="K2829" s="9"/>
      <c r="L2829" s="9"/>
      <c r="M2829" s="9"/>
    </row>
    <row r="2830">
      <c r="J2830" s="9"/>
      <c r="K2830" s="9"/>
      <c r="L2830" s="9"/>
      <c r="M2830" s="9"/>
    </row>
    <row r="2831">
      <c r="J2831" s="9"/>
      <c r="K2831" s="9"/>
      <c r="L2831" s="9"/>
      <c r="M2831" s="9"/>
    </row>
    <row r="2832">
      <c r="J2832" s="9"/>
      <c r="K2832" s="9"/>
      <c r="L2832" s="9"/>
      <c r="M2832" s="9"/>
    </row>
    <row r="2833">
      <c r="J2833" s="9"/>
      <c r="K2833" s="9"/>
      <c r="L2833" s="9"/>
      <c r="M2833" s="9"/>
    </row>
    <row r="2834">
      <c r="J2834" s="9"/>
      <c r="K2834" s="9"/>
      <c r="L2834" s="9"/>
      <c r="M2834" s="9"/>
    </row>
    <row r="2835">
      <c r="J2835" s="9"/>
      <c r="K2835" s="9"/>
      <c r="L2835" s="9"/>
      <c r="M2835" s="9"/>
    </row>
    <row r="2836">
      <c r="J2836" s="9"/>
      <c r="K2836" s="9"/>
      <c r="L2836" s="9"/>
      <c r="M2836" s="9"/>
    </row>
    <row r="2837">
      <c r="J2837" s="9"/>
      <c r="K2837" s="9"/>
      <c r="L2837" s="9"/>
      <c r="M2837" s="9"/>
    </row>
    <row r="2838">
      <c r="J2838" s="9"/>
      <c r="K2838" s="9"/>
      <c r="L2838" s="9"/>
      <c r="M2838" s="9"/>
    </row>
    <row r="2839">
      <c r="J2839" s="9"/>
      <c r="K2839" s="9"/>
      <c r="L2839" s="9"/>
      <c r="M2839" s="9"/>
    </row>
    <row r="2840">
      <c r="J2840" s="9"/>
      <c r="K2840" s="9"/>
      <c r="L2840" s="9"/>
      <c r="M2840" s="9"/>
    </row>
    <row r="2841">
      <c r="J2841" s="9"/>
      <c r="K2841" s="9"/>
      <c r="L2841" s="9"/>
      <c r="M2841" s="9"/>
    </row>
    <row r="2842">
      <c r="J2842" s="9"/>
      <c r="K2842" s="9"/>
      <c r="L2842" s="9"/>
      <c r="M2842" s="9"/>
    </row>
    <row r="2843">
      <c r="J2843" s="9"/>
      <c r="K2843" s="9"/>
      <c r="L2843" s="9"/>
      <c r="M2843" s="9"/>
    </row>
    <row r="2844">
      <c r="J2844" s="9"/>
      <c r="K2844" s="9"/>
      <c r="L2844" s="9"/>
      <c r="M2844" s="9"/>
    </row>
    <row r="2845">
      <c r="J2845" s="9"/>
      <c r="K2845" s="9"/>
      <c r="L2845" s="9"/>
      <c r="M2845" s="9"/>
    </row>
    <row r="2846">
      <c r="J2846" s="9"/>
      <c r="K2846" s="9"/>
      <c r="L2846" s="9"/>
      <c r="M2846" s="9"/>
    </row>
    <row r="2847">
      <c r="J2847" s="9"/>
      <c r="K2847" s="9"/>
      <c r="L2847" s="9"/>
      <c r="M2847" s="9"/>
    </row>
    <row r="2848">
      <c r="J2848" s="9"/>
      <c r="K2848" s="9"/>
      <c r="L2848" s="9"/>
      <c r="M2848" s="9"/>
    </row>
    <row r="2849">
      <c r="J2849" s="9"/>
      <c r="K2849" s="9"/>
      <c r="L2849" s="9"/>
      <c r="M2849" s="9"/>
    </row>
    <row r="2850">
      <c r="J2850" s="9"/>
      <c r="K2850" s="9"/>
      <c r="L2850" s="9"/>
      <c r="M2850" s="9"/>
    </row>
    <row r="2851">
      <c r="J2851" s="9"/>
      <c r="K2851" s="9"/>
      <c r="L2851" s="9"/>
      <c r="M2851" s="9"/>
    </row>
    <row r="2852">
      <c r="J2852" s="9"/>
      <c r="K2852" s="9"/>
      <c r="L2852" s="9"/>
      <c r="M2852" s="9"/>
    </row>
    <row r="2853">
      <c r="J2853" s="9"/>
      <c r="K2853" s="9"/>
      <c r="L2853" s="9"/>
      <c r="M2853" s="9"/>
    </row>
    <row r="2854">
      <c r="J2854" s="9"/>
      <c r="K2854" s="9"/>
      <c r="L2854" s="9"/>
      <c r="M2854" s="9"/>
    </row>
    <row r="2855">
      <c r="J2855" s="9"/>
      <c r="K2855" s="9"/>
      <c r="L2855" s="9"/>
      <c r="M2855" s="9"/>
    </row>
    <row r="2856">
      <c r="J2856" s="9"/>
      <c r="K2856" s="9"/>
      <c r="L2856" s="9"/>
      <c r="M2856" s="9"/>
    </row>
    <row r="2857">
      <c r="J2857" s="9"/>
      <c r="K2857" s="9"/>
      <c r="L2857" s="9"/>
      <c r="M2857" s="9"/>
    </row>
    <row r="2858">
      <c r="J2858" s="9"/>
      <c r="K2858" s="9"/>
      <c r="L2858" s="9"/>
      <c r="M2858" s="9"/>
    </row>
    <row r="2859">
      <c r="J2859" s="9"/>
      <c r="K2859" s="9"/>
      <c r="L2859" s="9"/>
      <c r="M2859" s="9"/>
    </row>
    <row r="2860">
      <c r="J2860" s="9"/>
      <c r="K2860" s="9"/>
      <c r="L2860" s="9"/>
      <c r="M2860" s="9"/>
    </row>
    <row r="2861">
      <c r="J2861" s="9"/>
      <c r="K2861" s="9"/>
      <c r="L2861" s="9"/>
      <c r="M2861" s="9"/>
    </row>
    <row r="2862">
      <c r="J2862" s="9"/>
      <c r="K2862" s="9"/>
      <c r="L2862" s="9"/>
      <c r="M2862" s="9"/>
    </row>
    <row r="2863">
      <c r="J2863" s="9"/>
      <c r="K2863" s="9"/>
      <c r="L2863" s="9"/>
      <c r="M2863" s="9"/>
    </row>
    <row r="2864">
      <c r="J2864" s="9"/>
      <c r="K2864" s="9"/>
      <c r="L2864" s="9"/>
      <c r="M2864" s="9"/>
    </row>
    <row r="2865">
      <c r="J2865" s="9"/>
      <c r="K2865" s="9"/>
      <c r="L2865" s="9"/>
      <c r="M2865" s="9"/>
    </row>
    <row r="2866">
      <c r="J2866" s="9"/>
      <c r="K2866" s="9"/>
      <c r="L2866" s="9"/>
      <c r="M2866" s="9"/>
    </row>
    <row r="2867">
      <c r="J2867" s="9"/>
      <c r="K2867" s="9"/>
      <c r="L2867" s="9"/>
      <c r="M2867" s="9"/>
    </row>
    <row r="2868">
      <c r="J2868" s="9"/>
      <c r="K2868" s="9"/>
      <c r="L2868" s="9"/>
      <c r="M2868" s="9"/>
    </row>
    <row r="2869">
      <c r="J2869" s="9"/>
      <c r="K2869" s="9"/>
      <c r="L2869" s="9"/>
      <c r="M2869" s="9"/>
    </row>
    <row r="2870">
      <c r="J2870" s="9"/>
      <c r="K2870" s="9"/>
      <c r="L2870" s="9"/>
      <c r="M2870" s="9"/>
    </row>
    <row r="2871">
      <c r="J2871" s="9"/>
      <c r="K2871" s="9"/>
      <c r="L2871" s="9"/>
      <c r="M2871" s="9"/>
    </row>
    <row r="2872">
      <c r="J2872" s="9"/>
      <c r="K2872" s="9"/>
      <c r="L2872" s="9"/>
      <c r="M2872" s="9"/>
    </row>
    <row r="2873">
      <c r="J2873" s="9"/>
      <c r="K2873" s="9"/>
      <c r="L2873" s="9"/>
      <c r="M2873" s="9"/>
    </row>
    <row r="2874">
      <c r="J2874" s="9"/>
      <c r="K2874" s="9"/>
      <c r="L2874" s="9"/>
      <c r="M2874" s="9"/>
    </row>
    <row r="2875">
      <c r="J2875" s="9"/>
      <c r="K2875" s="9"/>
      <c r="L2875" s="9"/>
      <c r="M2875" s="9"/>
    </row>
    <row r="2876">
      <c r="J2876" s="9"/>
      <c r="K2876" s="9"/>
      <c r="L2876" s="9"/>
      <c r="M2876" s="9"/>
    </row>
    <row r="2877">
      <c r="J2877" s="9"/>
      <c r="K2877" s="9"/>
      <c r="L2877" s="9"/>
      <c r="M2877" s="9"/>
    </row>
    <row r="2878">
      <c r="J2878" s="9"/>
      <c r="K2878" s="9"/>
      <c r="L2878" s="9"/>
      <c r="M2878" s="9"/>
    </row>
    <row r="2879">
      <c r="J2879" s="9"/>
      <c r="K2879" s="9"/>
      <c r="L2879" s="9"/>
      <c r="M2879" s="9"/>
    </row>
    <row r="2880">
      <c r="J2880" s="9"/>
      <c r="K2880" s="9"/>
      <c r="L2880" s="9"/>
      <c r="M2880" s="9"/>
    </row>
    <row r="2881">
      <c r="J2881" s="9"/>
      <c r="K2881" s="9"/>
      <c r="L2881" s="9"/>
      <c r="M2881" s="9"/>
    </row>
    <row r="2882">
      <c r="J2882" s="9"/>
      <c r="K2882" s="9"/>
      <c r="L2882" s="9"/>
      <c r="M2882" s="9"/>
    </row>
    <row r="2883">
      <c r="J2883" s="9"/>
      <c r="K2883" s="9"/>
      <c r="L2883" s="9"/>
      <c r="M2883" s="9"/>
    </row>
    <row r="2884">
      <c r="J2884" s="9"/>
      <c r="K2884" s="9"/>
      <c r="L2884" s="9"/>
      <c r="M2884" s="9"/>
    </row>
    <row r="2885">
      <c r="J2885" s="9"/>
      <c r="K2885" s="9"/>
      <c r="L2885" s="9"/>
      <c r="M2885" s="9"/>
    </row>
    <row r="2886">
      <c r="J2886" s="9"/>
      <c r="K2886" s="9"/>
      <c r="L2886" s="9"/>
      <c r="M2886" s="9"/>
    </row>
    <row r="2887">
      <c r="J2887" s="9"/>
      <c r="K2887" s="9"/>
      <c r="L2887" s="9"/>
      <c r="M2887" s="9"/>
    </row>
    <row r="2888">
      <c r="J2888" s="9"/>
      <c r="K2888" s="9"/>
      <c r="L2888" s="9"/>
      <c r="M2888" s="9"/>
    </row>
    <row r="2889">
      <c r="J2889" s="9"/>
      <c r="K2889" s="9"/>
      <c r="L2889" s="9"/>
      <c r="M2889" s="9"/>
    </row>
    <row r="2890">
      <c r="J2890" s="9"/>
      <c r="K2890" s="9"/>
      <c r="L2890" s="9"/>
      <c r="M2890" s="9"/>
    </row>
    <row r="2891">
      <c r="J2891" s="9"/>
      <c r="K2891" s="9"/>
      <c r="L2891" s="9"/>
      <c r="M2891" s="9"/>
    </row>
    <row r="2892">
      <c r="J2892" s="9"/>
      <c r="K2892" s="9"/>
      <c r="L2892" s="9"/>
      <c r="M2892" s="9"/>
    </row>
    <row r="2893">
      <c r="J2893" s="9"/>
      <c r="K2893" s="9"/>
      <c r="L2893" s="9"/>
      <c r="M2893" s="9"/>
    </row>
    <row r="2894">
      <c r="J2894" s="9"/>
      <c r="K2894" s="9"/>
      <c r="L2894" s="9"/>
      <c r="M2894" s="9"/>
    </row>
    <row r="2895">
      <c r="J2895" s="9"/>
      <c r="K2895" s="9"/>
      <c r="L2895" s="9"/>
      <c r="M2895" s="9"/>
    </row>
    <row r="2896">
      <c r="J2896" s="9"/>
      <c r="K2896" s="9"/>
      <c r="L2896" s="9"/>
      <c r="M2896" s="9"/>
    </row>
    <row r="2897">
      <c r="J2897" s="9"/>
      <c r="K2897" s="9"/>
      <c r="L2897" s="9"/>
      <c r="M2897" s="9"/>
    </row>
    <row r="2898">
      <c r="J2898" s="9"/>
      <c r="K2898" s="9"/>
      <c r="L2898" s="9"/>
      <c r="M2898" s="9"/>
    </row>
    <row r="2899">
      <c r="J2899" s="9"/>
      <c r="K2899" s="9"/>
      <c r="L2899" s="9"/>
      <c r="M2899" s="9"/>
    </row>
    <row r="2900">
      <c r="J2900" s="9"/>
      <c r="K2900" s="9"/>
      <c r="L2900" s="9"/>
      <c r="M2900" s="9"/>
    </row>
    <row r="2901">
      <c r="J2901" s="9"/>
      <c r="K2901" s="9"/>
      <c r="L2901" s="9"/>
      <c r="M2901" s="9"/>
    </row>
    <row r="2902">
      <c r="J2902" s="9"/>
      <c r="K2902" s="9"/>
      <c r="L2902" s="9"/>
      <c r="M2902" s="9"/>
    </row>
    <row r="2903">
      <c r="J2903" s="9"/>
      <c r="K2903" s="9"/>
      <c r="L2903" s="9"/>
      <c r="M2903" s="9"/>
    </row>
    <row r="2904">
      <c r="J2904" s="9"/>
      <c r="K2904" s="9"/>
      <c r="L2904" s="9"/>
      <c r="M2904" s="9"/>
    </row>
    <row r="2905">
      <c r="J2905" s="9"/>
      <c r="K2905" s="9"/>
      <c r="L2905" s="9"/>
      <c r="M2905" s="9"/>
    </row>
    <row r="2906">
      <c r="J2906" s="9"/>
      <c r="K2906" s="9"/>
      <c r="L2906" s="9"/>
      <c r="M2906" s="9"/>
    </row>
    <row r="2907">
      <c r="J2907" s="9"/>
      <c r="K2907" s="9"/>
      <c r="L2907" s="9"/>
      <c r="M2907" s="9"/>
    </row>
    <row r="2908">
      <c r="J2908" s="9"/>
      <c r="K2908" s="9"/>
      <c r="L2908" s="9"/>
      <c r="M2908" s="9"/>
    </row>
    <row r="2909">
      <c r="J2909" s="9"/>
      <c r="K2909" s="9"/>
      <c r="L2909" s="9"/>
      <c r="M2909" s="9"/>
    </row>
    <row r="2910">
      <c r="J2910" s="9"/>
      <c r="K2910" s="9"/>
      <c r="L2910" s="9"/>
      <c r="M2910" s="9"/>
    </row>
    <row r="2911">
      <c r="J2911" s="9"/>
      <c r="K2911" s="9"/>
      <c r="L2911" s="9"/>
      <c r="M2911" s="9"/>
    </row>
    <row r="2912">
      <c r="J2912" s="9"/>
      <c r="K2912" s="9"/>
      <c r="L2912" s="9"/>
      <c r="M2912" s="9"/>
    </row>
    <row r="2913">
      <c r="J2913" s="9"/>
      <c r="K2913" s="9"/>
      <c r="L2913" s="9"/>
      <c r="M2913" s="9"/>
    </row>
    <row r="2914">
      <c r="J2914" s="9"/>
      <c r="K2914" s="9"/>
      <c r="L2914" s="9"/>
      <c r="M2914" s="9"/>
    </row>
    <row r="2915">
      <c r="J2915" s="9"/>
      <c r="K2915" s="9"/>
      <c r="L2915" s="9"/>
      <c r="M2915" s="9"/>
    </row>
    <row r="2916">
      <c r="J2916" s="9"/>
      <c r="K2916" s="9"/>
      <c r="L2916" s="9"/>
      <c r="M2916" s="9"/>
    </row>
    <row r="2917">
      <c r="J2917" s="9"/>
      <c r="K2917" s="9"/>
      <c r="L2917" s="9"/>
      <c r="M2917" s="9"/>
    </row>
    <row r="2918">
      <c r="J2918" s="9"/>
      <c r="K2918" s="9"/>
      <c r="L2918" s="9"/>
      <c r="M2918" s="9"/>
    </row>
    <row r="2919">
      <c r="J2919" s="9"/>
      <c r="K2919" s="9"/>
      <c r="L2919" s="9"/>
      <c r="M2919" s="9"/>
    </row>
    <row r="2920">
      <c r="J2920" s="9"/>
      <c r="K2920" s="9"/>
      <c r="L2920" s="9"/>
      <c r="M2920" s="9"/>
    </row>
    <row r="2921">
      <c r="J2921" s="9"/>
      <c r="K2921" s="9"/>
      <c r="L2921" s="9"/>
      <c r="M2921" s="9"/>
    </row>
    <row r="2922">
      <c r="J2922" s="9"/>
      <c r="K2922" s="9"/>
      <c r="L2922" s="9"/>
      <c r="M2922" s="9"/>
    </row>
    <row r="2923">
      <c r="J2923" s="9"/>
      <c r="K2923" s="9"/>
      <c r="L2923" s="9"/>
      <c r="M2923" s="9"/>
    </row>
    <row r="2924">
      <c r="J2924" s="9"/>
      <c r="K2924" s="9"/>
      <c r="L2924" s="9"/>
      <c r="M2924" s="9"/>
    </row>
    <row r="2925">
      <c r="J2925" s="9"/>
      <c r="K2925" s="9"/>
      <c r="L2925" s="9"/>
      <c r="M2925" s="9"/>
    </row>
    <row r="2926">
      <c r="J2926" s="9"/>
      <c r="K2926" s="9"/>
      <c r="L2926" s="9"/>
      <c r="M2926" s="9"/>
    </row>
    <row r="2927">
      <c r="J2927" s="9"/>
      <c r="K2927" s="9"/>
      <c r="L2927" s="9"/>
      <c r="M2927" s="9"/>
    </row>
    <row r="2928">
      <c r="J2928" s="9"/>
      <c r="K2928" s="9"/>
      <c r="L2928" s="9"/>
      <c r="M2928" s="9"/>
    </row>
    <row r="2929">
      <c r="J2929" s="9"/>
      <c r="K2929" s="9"/>
      <c r="L2929" s="9"/>
      <c r="M2929" s="9"/>
    </row>
    <row r="2930">
      <c r="J2930" s="9"/>
      <c r="K2930" s="9"/>
      <c r="L2930" s="9"/>
      <c r="M2930" s="9"/>
    </row>
    <row r="2931">
      <c r="J2931" s="9"/>
      <c r="K2931" s="9"/>
      <c r="L2931" s="9"/>
      <c r="M2931" s="9"/>
    </row>
    <row r="2932">
      <c r="J2932" s="9"/>
      <c r="K2932" s="9"/>
      <c r="L2932" s="9"/>
      <c r="M2932" s="9"/>
    </row>
    <row r="2933">
      <c r="J2933" s="9"/>
      <c r="K2933" s="9"/>
      <c r="L2933" s="9"/>
      <c r="M2933" s="9"/>
    </row>
    <row r="2934">
      <c r="J2934" s="9"/>
      <c r="K2934" s="9"/>
      <c r="L2934" s="9"/>
      <c r="M2934" s="9"/>
    </row>
    <row r="2935">
      <c r="J2935" s="9"/>
      <c r="K2935" s="9"/>
      <c r="L2935" s="9"/>
      <c r="M2935" s="9"/>
    </row>
    <row r="2936">
      <c r="J2936" s="9"/>
      <c r="K2936" s="9"/>
      <c r="L2936" s="9"/>
      <c r="M2936" s="9"/>
    </row>
    <row r="2937">
      <c r="J2937" s="9"/>
      <c r="K2937" s="9"/>
      <c r="L2937" s="9"/>
      <c r="M2937" s="9"/>
    </row>
    <row r="2938">
      <c r="J2938" s="9"/>
      <c r="K2938" s="9"/>
      <c r="L2938" s="9"/>
      <c r="M2938" s="9"/>
    </row>
    <row r="2939">
      <c r="J2939" s="9"/>
      <c r="K2939" s="9"/>
      <c r="L2939" s="9"/>
      <c r="M2939" s="9"/>
    </row>
    <row r="2940">
      <c r="J2940" s="9"/>
      <c r="K2940" s="9"/>
      <c r="L2940" s="9"/>
      <c r="M2940" s="9"/>
    </row>
    <row r="2941">
      <c r="J2941" s="9"/>
      <c r="K2941" s="9"/>
      <c r="L2941" s="9"/>
      <c r="M2941" s="9"/>
    </row>
    <row r="2942">
      <c r="J2942" s="9"/>
      <c r="K2942" s="9"/>
      <c r="L2942" s="9"/>
      <c r="M2942" s="9"/>
    </row>
    <row r="2943">
      <c r="J2943" s="9"/>
      <c r="K2943" s="9"/>
      <c r="L2943" s="9"/>
      <c r="M2943" s="9"/>
    </row>
    <row r="2944">
      <c r="J2944" s="9"/>
      <c r="K2944" s="9"/>
      <c r="L2944" s="9"/>
      <c r="M2944" s="9"/>
    </row>
    <row r="2945">
      <c r="J2945" s="9"/>
      <c r="K2945" s="9"/>
      <c r="L2945" s="9"/>
      <c r="M2945" s="9"/>
    </row>
    <row r="2946">
      <c r="J2946" s="9"/>
      <c r="K2946" s="9"/>
      <c r="L2946" s="9"/>
      <c r="M2946" s="9"/>
    </row>
    <row r="2947">
      <c r="J2947" s="9"/>
      <c r="K2947" s="9"/>
      <c r="L2947" s="9"/>
      <c r="M2947" s="9"/>
    </row>
    <row r="2948">
      <c r="J2948" s="9"/>
      <c r="K2948" s="9"/>
      <c r="L2948" s="9"/>
      <c r="M2948" s="9"/>
    </row>
    <row r="2949">
      <c r="J2949" s="9"/>
      <c r="K2949" s="9"/>
      <c r="L2949" s="9"/>
      <c r="M2949" s="9"/>
    </row>
    <row r="2950">
      <c r="J2950" s="9"/>
      <c r="K2950" s="9"/>
      <c r="L2950" s="9"/>
      <c r="M2950" s="9"/>
    </row>
    <row r="2951">
      <c r="J2951" s="9"/>
      <c r="K2951" s="9"/>
      <c r="L2951" s="9"/>
      <c r="M2951" s="9"/>
    </row>
    <row r="2952">
      <c r="J2952" s="9"/>
      <c r="K2952" s="9"/>
      <c r="L2952" s="9"/>
      <c r="M2952" s="9"/>
    </row>
    <row r="2953">
      <c r="J2953" s="9"/>
      <c r="K2953" s="9"/>
      <c r="L2953" s="9"/>
      <c r="M2953" s="9"/>
    </row>
    <row r="2954">
      <c r="J2954" s="9"/>
      <c r="K2954" s="9"/>
      <c r="L2954" s="9"/>
      <c r="M2954" s="9"/>
    </row>
    <row r="2955">
      <c r="J2955" s="9"/>
      <c r="K2955" s="9"/>
      <c r="L2955" s="9"/>
      <c r="M2955" s="9"/>
    </row>
    <row r="2956">
      <c r="J2956" s="9"/>
      <c r="K2956" s="9"/>
      <c r="L2956" s="9"/>
      <c r="M2956" s="9"/>
    </row>
    <row r="2957">
      <c r="J2957" s="9"/>
      <c r="K2957" s="9"/>
      <c r="L2957" s="9"/>
      <c r="M2957" s="9"/>
    </row>
    <row r="2958">
      <c r="J2958" s="9"/>
      <c r="K2958" s="9"/>
      <c r="L2958" s="9"/>
      <c r="M2958" s="9"/>
    </row>
    <row r="2959">
      <c r="J2959" s="9"/>
      <c r="K2959" s="9"/>
      <c r="L2959" s="9"/>
      <c r="M2959" s="9"/>
    </row>
    <row r="2960">
      <c r="J2960" s="9"/>
      <c r="K2960" s="9"/>
      <c r="L2960" s="9"/>
      <c r="M2960" s="9"/>
    </row>
    <row r="2961">
      <c r="J2961" s="9"/>
      <c r="K2961" s="9"/>
      <c r="L2961" s="9"/>
      <c r="M2961" s="9"/>
    </row>
    <row r="2962">
      <c r="J2962" s="9"/>
      <c r="K2962" s="9"/>
      <c r="L2962" s="9"/>
      <c r="M2962" s="9"/>
    </row>
    <row r="2963">
      <c r="J2963" s="9"/>
      <c r="K2963" s="9"/>
      <c r="L2963" s="9"/>
      <c r="M2963" s="9"/>
    </row>
    <row r="2964">
      <c r="J2964" s="9"/>
      <c r="K2964" s="9"/>
      <c r="L2964" s="9"/>
      <c r="M2964" s="9"/>
    </row>
    <row r="2965">
      <c r="J2965" s="9"/>
      <c r="K2965" s="9"/>
      <c r="L2965" s="9"/>
      <c r="M2965" s="9"/>
    </row>
    <row r="2966">
      <c r="J2966" s="9"/>
      <c r="K2966" s="9"/>
      <c r="L2966" s="9"/>
      <c r="M2966" s="9"/>
    </row>
    <row r="2967">
      <c r="J2967" s="9"/>
      <c r="K2967" s="9"/>
      <c r="L2967" s="9"/>
      <c r="M2967" s="9"/>
    </row>
    <row r="2968">
      <c r="J2968" s="9"/>
      <c r="K2968" s="9"/>
      <c r="L2968" s="9"/>
      <c r="M2968" s="9"/>
    </row>
    <row r="2969">
      <c r="J2969" s="9"/>
      <c r="K2969" s="9"/>
      <c r="L2969" s="9"/>
      <c r="M2969" s="9"/>
    </row>
    <row r="2970">
      <c r="J2970" s="9"/>
      <c r="K2970" s="9"/>
      <c r="L2970" s="9"/>
      <c r="M2970" s="9"/>
    </row>
    <row r="2971">
      <c r="J2971" s="9"/>
      <c r="K2971" s="9"/>
      <c r="L2971" s="9"/>
      <c r="M2971" s="9"/>
    </row>
    <row r="2972">
      <c r="J2972" s="9"/>
      <c r="K2972" s="9"/>
      <c r="L2972" s="9"/>
      <c r="M2972" s="9"/>
    </row>
    <row r="2973">
      <c r="J2973" s="9"/>
      <c r="K2973" s="9"/>
      <c r="L2973" s="9"/>
      <c r="M2973" s="9"/>
    </row>
    <row r="2974">
      <c r="J2974" s="9"/>
      <c r="K2974" s="9"/>
      <c r="L2974" s="9"/>
      <c r="M2974" s="9"/>
    </row>
    <row r="2975">
      <c r="J2975" s="9"/>
      <c r="K2975" s="9"/>
      <c r="L2975" s="9"/>
      <c r="M2975" s="9"/>
    </row>
    <row r="2976">
      <c r="J2976" s="9"/>
      <c r="K2976" s="9"/>
      <c r="L2976" s="9"/>
      <c r="M2976" s="9"/>
    </row>
    <row r="2977">
      <c r="J2977" s="9"/>
      <c r="K2977" s="9"/>
      <c r="L2977" s="9"/>
      <c r="M2977" s="9"/>
    </row>
    <row r="2978">
      <c r="J2978" s="9"/>
      <c r="K2978" s="9"/>
      <c r="L2978" s="9"/>
      <c r="M2978" s="9"/>
    </row>
    <row r="2979">
      <c r="J2979" s="9"/>
      <c r="K2979" s="9"/>
      <c r="L2979" s="9"/>
      <c r="M2979" s="9"/>
    </row>
    <row r="2980">
      <c r="J2980" s="9"/>
      <c r="K2980" s="9"/>
      <c r="L2980" s="9"/>
      <c r="M2980" s="9"/>
    </row>
    <row r="2981">
      <c r="J2981" s="9"/>
      <c r="K2981" s="9"/>
      <c r="L2981" s="9"/>
      <c r="M2981" s="9"/>
    </row>
    <row r="2982">
      <c r="J2982" s="9"/>
      <c r="K2982" s="9"/>
      <c r="L2982" s="9"/>
      <c r="M2982" s="9"/>
    </row>
    <row r="2983">
      <c r="J2983" s="9"/>
      <c r="K2983" s="9"/>
      <c r="L2983" s="9"/>
      <c r="M2983" s="9"/>
    </row>
    <row r="2984">
      <c r="J2984" s="9"/>
      <c r="K2984" s="9"/>
      <c r="L2984" s="9"/>
      <c r="M2984" s="9"/>
    </row>
    <row r="2985">
      <c r="J2985" s="9"/>
      <c r="K2985" s="9"/>
      <c r="L2985" s="9"/>
      <c r="M2985" s="9"/>
    </row>
    <row r="2986">
      <c r="J2986" s="9"/>
      <c r="K2986" s="9"/>
      <c r="L2986" s="9"/>
      <c r="M2986" s="9"/>
    </row>
    <row r="2987">
      <c r="J2987" s="9"/>
      <c r="K2987" s="9"/>
      <c r="L2987" s="9"/>
      <c r="M2987" s="9"/>
    </row>
    <row r="2988">
      <c r="J2988" s="9"/>
      <c r="K2988" s="9"/>
      <c r="L2988" s="9"/>
      <c r="M2988" s="9"/>
    </row>
    <row r="2989">
      <c r="J2989" s="9"/>
      <c r="K2989" s="9"/>
      <c r="L2989" s="9"/>
      <c r="M2989" s="9"/>
    </row>
    <row r="2990">
      <c r="J2990" s="9"/>
      <c r="K2990" s="9"/>
      <c r="L2990" s="9"/>
      <c r="M2990" s="9"/>
    </row>
    <row r="2991">
      <c r="J2991" s="9"/>
      <c r="K2991" s="9"/>
      <c r="L2991" s="9"/>
      <c r="M2991" s="9"/>
    </row>
    <row r="2992">
      <c r="J2992" s="9"/>
      <c r="K2992" s="9"/>
      <c r="L2992" s="9"/>
      <c r="M2992" s="9"/>
    </row>
    <row r="2993">
      <c r="J2993" s="9"/>
      <c r="K2993" s="9"/>
      <c r="L2993" s="9"/>
      <c r="M2993" s="9"/>
    </row>
    <row r="2994">
      <c r="J2994" s="9"/>
      <c r="K2994" s="9"/>
      <c r="L2994" s="9"/>
      <c r="M2994" s="9"/>
    </row>
    <row r="2995">
      <c r="J2995" s="9"/>
      <c r="K2995" s="9"/>
      <c r="L2995" s="9"/>
      <c r="M2995" s="9"/>
    </row>
    <row r="2996">
      <c r="J2996" s="9"/>
      <c r="K2996" s="9"/>
      <c r="L2996" s="9"/>
      <c r="M2996" s="9"/>
    </row>
    <row r="2997">
      <c r="J2997" s="9"/>
      <c r="K2997" s="9"/>
      <c r="L2997" s="9"/>
      <c r="M2997" s="9"/>
    </row>
    <row r="2998">
      <c r="J2998" s="9"/>
      <c r="K2998" s="9"/>
      <c r="L2998" s="9"/>
      <c r="M2998" s="9"/>
    </row>
    <row r="2999">
      <c r="J2999" s="9"/>
      <c r="K2999" s="9"/>
      <c r="L2999" s="9"/>
      <c r="M2999" s="9"/>
    </row>
    <row r="3000">
      <c r="J3000" s="9"/>
      <c r="K3000" s="9"/>
      <c r="L3000" s="9"/>
      <c r="M3000" s="9"/>
    </row>
    <row r="3001">
      <c r="J3001" s="9"/>
      <c r="K3001" s="9"/>
      <c r="L3001" s="9"/>
      <c r="M3001" s="9"/>
    </row>
    <row r="3002">
      <c r="J3002" s="9"/>
      <c r="K3002" s="9"/>
      <c r="L3002" s="9"/>
      <c r="M3002" s="9"/>
    </row>
    <row r="3003">
      <c r="J3003" s="9"/>
      <c r="K3003" s="9"/>
      <c r="L3003" s="9"/>
      <c r="M3003" s="9"/>
    </row>
    <row r="3004">
      <c r="J3004" s="9"/>
      <c r="K3004" s="9"/>
      <c r="L3004" s="9"/>
      <c r="M3004" s="9"/>
    </row>
    <row r="3005">
      <c r="J3005" s="9"/>
      <c r="K3005" s="9"/>
      <c r="L3005" s="9"/>
      <c r="M3005" s="9"/>
    </row>
    <row r="3006">
      <c r="J3006" s="9"/>
      <c r="K3006" s="9"/>
      <c r="L3006" s="9"/>
      <c r="M3006" s="9"/>
    </row>
    <row r="3007">
      <c r="J3007" s="9"/>
      <c r="K3007" s="9"/>
      <c r="L3007" s="9"/>
      <c r="M3007" s="9"/>
    </row>
    <row r="3008">
      <c r="J3008" s="9"/>
      <c r="K3008" s="9"/>
      <c r="L3008" s="9"/>
      <c r="M3008" s="9"/>
    </row>
    <row r="3009">
      <c r="J3009" s="9"/>
      <c r="K3009" s="9"/>
      <c r="L3009" s="9"/>
      <c r="M3009" s="9"/>
    </row>
    <row r="3010">
      <c r="J3010" s="9"/>
      <c r="K3010" s="9"/>
      <c r="L3010" s="9"/>
      <c r="M3010" s="9"/>
    </row>
    <row r="3011">
      <c r="J3011" s="9"/>
      <c r="K3011" s="9"/>
      <c r="L3011" s="9"/>
      <c r="M3011" s="9"/>
    </row>
    <row r="3012">
      <c r="J3012" s="9"/>
      <c r="K3012" s="9"/>
      <c r="L3012" s="9"/>
      <c r="M3012" s="9"/>
    </row>
    <row r="3013">
      <c r="J3013" s="9"/>
      <c r="K3013" s="9"/>
      <c r="L3013" s="9"/>
      <c r="M3013" s="9"/>
    </row>
    <row r="3014">
      <c r="J3014" s="9"/>
      <c r="K3014" s="9"/>
      <c r="L3014" s="9"/>
      <c r="M3014" s="9"/>
    </row>
    <row r="3015">
      <c r="J3015" s="9"/>
      <c r="K3015" s="9"/>
      <c r="L3015" s="9"/>
      <c r="M3015" s="9"/>
    </row>
    <row r="3016">
      <c r="J3016" s="9"/>
      <c r="K3016" s="9"/>
      <c r="L3016" s="9"/>
      <c r="M3016" s="9"/>
    </row>
    <row r="3017">
      <c r="J3017" s="9"/>
      <c r="K3017" s="9"/>
      <c r="L3017" s="9"/>
      <c r="M3017" s="9"/>
    </row>
    <row r="3018">
      <c r="J3018" s="9"/>
      <c r="K3018" s="9"/>
      <c r="L3018" s="9"/>
      <c r="M3018" s="9"/>
    </row>
    <row r="3019">
      <c r="J3019" s="9"/>
      <c r="K3019" s="9"/>
      <c r="L3019" s="9"/>
      <c r="M3019" s="9"/>
    </row>
    <row r="3020">
      <c r="J3020" s="9"/>
      <c r="K3020" s="9"/>
      <c r="L3020" s="9"/>
      <c r="M3020" s="9"/>
    </row>
    <row r="3021">
      <c r="J3021" s="9"/>
      <c r="K3021" s="9"/>
      <c r="L3021" s="9"/>
      <c r="M3021" s="9"/>
    </row>
    <row r="3022">
      <c r="J3022" s="9"/>
      <c r="K3022" s="9"/>
      <c r="L3022" s="9"/>
      <c r="M3022" s="9"/>
    </row>
    <row r="3023">
      <c r="J3023" s="9"/>
      <c r="K3023" s="9"/>
      <c r="L3023" s="9"/>
      <c r="M3023" s="9"/>
    </row>
    <row r="3024">
      <c r="J3024" s="9"/>
      <c r="K3024" s="9"/>
      <c r="L3024" s="9"/>
      <c r="M3024" s="9"/>
    </row>
    <row r="3025">
      <c r="J3025" s="9"/>
      <c r="K3025" s="9"/>
      <c r="L3025" s="9"/>
      <c r="M3025" s="9"/>
    </row>
    <row r="3026">
      <c r="J3026" s="9"/>
      <c r="K3026" s="9"/>
      <c r="L3026" s="9"/>
      <c r="M3026" s="9"/>
    </row>
    <row r="3027">
      <c r="J3027" s="9"/>
      <c r="K3027" s="9"/>
      <c r="L3027" s="9"/>
      <c r="M3027" s="9"/>
    </row>
    <row r="3028">
      <c r="J3028" s="9"/>
      <c r="K3028" s="9"/>
      <c r="L3028" s="9"/>
      <c r="M3028" s="9"/>
    </row>
    <row r="3029">
      <c r="J3029" s="9"/>
      <c r="K3029" s="9"/>
      <c r="L3029" s="9"/>
      <c r="M3029" s="9"/>
    </row>
    <row r="3030">
      <c r="J3030" s="9"/>
      <c r="K3030" s="9"/>
      <c r="L3030" s="9"/>
      <c r="M3030" s="9"/>
    </row>
    <row r="3031">
      <c r="J3031" s="9"/>
      <c r="K3031" s="9"/>
      <c r="L3031" s="9"/>
      <c r="M3031" s="9"/>
    </row>
    <row r="3032">
      <c r="J3032" s="9"/>
      <c r="K3032" s="9"/>
      <c r="L3032" s="9"/>
      <c r="M3032" s="9"/>
    </row>
    <row r="3033">
      <c r="J3033" s="9"/>
      <c r="K3033" s="9"/>
      <c r="L3033" s="9"/>
      <c r="M3033" s="9"/>
    </row>
    <row r="3034">
      <c r="J3034" s="9"/>
      <c r="K3034" s="9"/>
      <c r="L3034" s="9"/>
      <c r="M3034" s="9"/>
    </row>
    <row r="3035">
      <c r="J3035" s="9"/>
      <c r="K3035" s="9"/>
      <c r="L3035" s="9"/>
      <c r="M3035" s="9"/>
    </row>
    <row r="3036">
      <c r="J3036" s="9"/>
      <c r="K3036" s="9"/>
      <c r="L3036" s="9"/>
      <c r="M3036" s="9"/>
    </row>
    <row r="3037">
      <c r="J3037" s="9"/>
      <c r="K3037" s="9"/>
      <c r="L3037" s="9"/>
      <c r="M3037" s="9"/>
    </row>
    <row r="3038">
      <c r="J3038" s="9"/>
      <c r="K3038" s="9"/>
      <c r="L3038" s="9"/>
      <c r="M3038" s="9"/>
    </row>
    <row r="3039">
      <c r="J3039" s="9"/>
      <c r="K3039" s="9"/>
      <c r="L3039" s="9"/>
      <c r="M3039" s="9"/>
    </row>
    <row r="3040">
      <c r="J3040" s="9"/>
      <c r="K3040" s="9"/>
      <c r="L3040" s="9"/>
      <c r="M3040" s="9"/>
    </row>
    <row r="3041">
      <c r="J3041" s="9"/>
      <c r="K3041" s="9"/>
      <c r="L3041" s="9"/>
      <c r="M3041" s="9"/>
    </row>
    <row r="3042">
      <c r="J3042" s="9"/>
      <c r="K3042" s="9"/>
      <c r="L3042" s="9"/>
      <c r="M3042" s="9"/>
    </row>
    <row r="3043">
      <c r="J3043" s="9"/>
      <c r="K3043" s="9"/>
      <c r="L3043" s="9"/>
      <c r="M3043" s="9"/>
    </row>
    <row r="3044">
      <c r="J3044" s="9"/>
      <c r="K3044" s="9"/>
      <c r="L3044" s="9"/>
      <c r="M3044" s="9"/>
    </row>
    <row r="3045">
      <c r="J3045" s="9"/>
      <c r="K3045" s="9"/>
      <c r="L3045" s="9"/>
      <c r="M3045" s="9"/>
    </row>
    <row r="3046">
      <c r="J3046" s="9"/>
      <c r="K3046" s="9"/>
      <c r="L3046" s="9"/>
      <c r="M3046" s="9"/>
    </row>
    <row r="3047">
      <c r="J3047" s="9"/>
      <c r="K3047" s="9"/>
      <c r="L3047" s="9"/>
      <c r="M3047" s="9"/>
    </row>
    <row r="3048">
      <c r="J3048" s="9"/>
      <c r="K3048" s="9"/>
      <c r="L3048" s="9"/>
      <c r="M3048" s="9"/>
    </row>
    <row r="3049">
      <c r="J3049" s="9"/>
      <c r="K3049" s="9"/>
      <c r="L3049" s="9"/>
      <c r="M3049" s="9"/>
    </row>
    <row r="3050">
      <c r="J3050" s="9"/>
      <c r="K3050" s="9"/>
      <c r="L3050" s="9"/>
      <c r="M3050" s="9"/>
    </row>
    <row r="3051">
      <c r="J3051" s="9"/>
      <c r="K3051" s="9"/>
      <c r="L3051" s="9"/>
      <c r="M3051" s="9"/>
    </row>
    <row r="3052">
      <c r="J3052" s="9"/>
      <c r="K3052" s="9"/>
      <c r="L3052" s="9"/>
      <c r="M3052" s="9"/>
    </row>
    <row r="3053">
      <c r="J3053" s="9"/>
      <c r="K3053" s="9"/>
      <c r="L3053" s="9"/>
      <c r="M3053" s="9"/>
    </row>
    <row r="3054">
      <c r="J3054" s="9"/>
      <c r="K3054" s="9"/>
      <c r="L3054" s="9"/>
      <c r="M3054" s="9"/>
    </row>
    <row r="3055">
      <c r="J3055" s="9"/>
      <c r="K3055" s="9"/>
      <c r="L3055" s="9"/>
      <c r="M3055" s="9"/>
    </row>
    <row r="3056">
      <c r="J3056" s="9"/>
      <c r="K3056" s="9"/>
      <c r="L3056" s="9"/>
      <c r="M3056" s="9"/>
    </row>
    <row r="3057">
      <c r="J3057" s="9"/>
      <c r="K3057" s="9"/>
      <c r="L3057" s="9"/>
      <c r="M3057" s="9"/>
    </row>
    <row r="3058">
      <c r="J3058" s="9"/>
      <c r="K3058" s="9"/>
      <c r="L3058" s="9"/>
      <c r="M3058" s="9"/>
    </row>
    <row r="3059">
      <c r="J3059" s="9"/>
      <c r="K3059" s="9"/>
      <c r="L3059" s="9"/>
      <c r="M3059" s="9"/>
    </row>
    <row r="3060">
      <c r="J3060" s="9"/>
      <c r="K3060" s="9"/>
      <c r="L3060" s="9"/>
      <c r="M3060" s="9"/>
    </row>
    <row r="3061">
      <c r="J3061" s="9"/>
      <c r="K3061" s="9"/>
      <c r="L3061" s="9"/>
      <c r="M3061" s="9"/>
    </row>
    <row r="3062">
      <c r="J3062" s="9"/>
      <c r="K3062" s="9"/>
      <c r="L3062" s="9"/>
      <c r="M3062" s="9"/>
    </row>
    <row r="3063">
      <c r="J3063" s="9"/>
      <c r="K3063" s="9"/>
      <c r="L3063" s="9"/>
      <c r="M3063" s="9"/>
    </row>
    <row r="3064">
      <c r="J3064" s="9"/>
      <c r="K3064" s="9"/>
      <c r="L3064" s="9"/>
      <c r="M3064" s="9"/>
    </row>
    <row r="3065">
      <c r="J3065" s="9"/>
      <c r="K3065" s="9"/>
      <c r="L3065" s="9"/>
      <c r="M3065" s="9"/>
    </row>
    <row r="3066">
      <c r="J3066" s="9"/>
      <c r="K3066" s="9"/>
      <c r="L3066" s="9"/>
      <c r="M3066" s="9"/>
    </row>
    <row r="3067">
      <c r="J3067" s="9"/>
      <c r="K3067" s="9"/>
      <c r="L3067" s="9"/>
      <c r="M3067" s="9"/>
    </row>
    <row r="3068">
      <c r="J3068" s="9"/>
      <c r="K3068" s="9"/>
      <c r="L3068" s="9"/>
      <c r="M3068" s="9"/>
    </row>
    <row r="3069">
      <c r="J3069" s="9"/>
      <c r="K3069" s="9"/>
      <c r="L3069" s="9"/>
      <c r="M3069" s="9"/>
    </row>
    <row r="3070">
      <c r="J3070" s="9"/>
      <c r="K3070" s="9"/>
      <c r="L3070" s="9"/>
      <c r="M3070" s="9"/>
    </row>
    <row r="3071">
      <c r="J3071" s="9"/>
      <c r="K3071" s="9"/>
      <c r="L3071" s="9"/>
      <c r="M3071" s="9"/>
    </row>
    <row r="3072">
      <c r="J3072" s="9"/>
      <c r="K3072" s="9"/>
      <c r="L3072" s="9"/>
      <c r="M3072" s="9"/>
    </row>
    <row r="3073">
      <c r="J3073" s="9"/>
      <c r="K3073" s="9"/>
      <c r="L3073" s="9"/>
      <c r="M3073" s="9"/>
    </row>
    <row r="3074">
      <c r="J3074" s="9"/>
      <c r="K3074" s="9"/>
      <c r="L3074" s="9"/>
      <c r="M3074" s="9"/>
    </row>
    <row r="3075">
      <c r="J3075" s="9"/>
      <c r="K3075" s="9"/>
      <c r="L3075" s="9"/>
      <c r="M3075" s="9"/>
    </row>
    <row r="3076">
      <c r="J3076" s="9"/>
      <c r="K3076" s="9"/>
      <c r="L3076" s="9"/>
      <c r="M3076" s="9"/>
    </row>
    <row r="3077">
      <c r="J3077" s="9"/>
      <c r="K3077" s="9"/>
      <c r="L3077" s="9"/>
      <c r="M3077" s="9"/>
    </row>
    <row r="3078">
      <c r="J3078" s="9"/>
      <c r="K3078" s="9"/>
      <c r="L3078" s="9"/>
      <c r="M3078" s="9"/>
    </row>
    <row r="3079">
      <c r="J3079" s="9"/>
      <c r="K3079" s="9"/>
      <c r="L3079" s="9"/>
      <c r="M3079" s="9"/>
    </row>
    <row r="3080">
      <c r="J3080" s="9"/>
      <c r="K3080" s="9"/>
      <c r="L3080" s="9"/>
      <c r="M3080" s="9"/>
    </row>
    <row r="3081">
      <c r="J3081" s="9"/>
      <c r="K3081" s="9"/>
      <c r="L3081" s="9"/>
      <c r="M3081" s="9"/>
    </row>
    <row r="3082">
      <c r="J3082" s="9"/>
      <c r="K3082" s="9"/>
      <c r="L3082" s="9"/>
      <c r="M3082" s="9"/>
    </row>
    <row r="3083">
      <c r="J3083" s="9"/>
      <c r="K3083" s="9"/>
      <c r="L3083" s="9"/>
      <c r="M3083" s="9"/>
    </row>
    <row r="3084">
      <c r="J3084" s="9"/>
      <c r="K3084" s="9"/>
      <c r="L3084" s="9"/>
      <c r="M3084" s="9"/>
    </row>
    <row r="3085">
      <c r="J3085" s="9"/>
      <c r="K3085" s="9"/>
      <c r="L3085" s="9"/>
      <c r="M3085" s="9"/>
    </row>
    <row r="3086">
      <c r="J3086" s="9"/>
      <c r="K3086" s="9"/>
      <c r="L3086" s="9"/>
      <c r="M3086" s="9"/>
    </row>
    <row r="3087">
      <c r="J3087" s="9"/>
      <c r="K3087" s="9"/>
      <c r="L3087" s="9"/>
      <c r="M3087" s="9"/>
    </row>
    <row r="3088">
      <c r="J3088" s="9"/>
      <c r="K3088" s="9"/>
      <c r="L3088" s="9"/>
      <c r="M3088" s="9"/>
    </row>
    <row r="3089">
      <c r="J3089" s="9"/>
      <c r="K3089" s="9"/>
      <c r="L3089" s="9"/>
      <c r="M3089" s="9"/>
    </row>
    <row r="3090">
      <c r="J3090" s="9"/>
      <c r="K3090" s="9"/>
      <c r="L3090" s="9"/>
      <c r="M3090" s="9"/>
    </row>
    <row r="3091">
      <c r="J3091" s="9"/>
      <c r="K3091" s="9"/>
      <c r="L3091" s="9"/>
      <c r="M3091" s="9"/>
    </row>
    <row r="3092">
      <c r="J3092" s="9"/>
      <c r="K3092" s="9"/>
      <c r="L3092" s="9"/>
      <c r="M3092" s="9"/>
    </row>
    <row r="3093">
      <c r="J3093" s="9"/>
      <c r="K3093" s="9"/>
      <c r="L3093" s="9"/>
      <c r="M3093" s="9"/>
    </row>
    <row r="3094">
      <c r="J3094" s="9"/>
      <c r="K3094" s="9"/>
      <c r="L3094" s="9"/>
      <c r="M3094" s="9"/>
    </row>
    <row r="3095">
      <c r="J3095" s="9"/>
      <c r="K3095" s="9"/>
      <c r="L3095" s="9"/>
      <c r="M3095" s="9"/>
    </row>
    <row r="3096">
      <c r="J3096" s="9"/>
      <c r="K3096" s="9"/>
      <c r="L3096" s="9"/>
      <c r="M3096" s="9"/>
    </row>
    <row r="3097">
      <c r="J3097" s="9"/>
      <c r="K3097" s="9"/>
      <c r="L3097" s="9"/>
      <c r="M3097" s="9"/>
    </row>
    <row r="3098">
      <c r="J3098" s="9"/>
      <c r="K3098" s="9"/>
      <c r="L3098" s="9"/>
      <c r="M3098" s="9"/>
    </row>
    <row r="3099">
      <c r="J3099" s="9"/>
      <c r="K3099" s="9"/>
      <c r="L3099" s="9"/>
      <c r="M3099" s="9"/>
    </row>
    <row r="3100">
      <c r="J3100" s="9"/>
      <c r="K3100" s="9"/>
      <c r="L3100" s="9"/>
      <c r="M3100" s="9"/>
    </row>
    <row r="3101">
      <c r="J3101" s="9"/>
      <c r="K3101" s="9"/>
      <c r="L3101" s="9"/>
      <c r="M3101" s="9"/>
    </row>
    <row r="3102">
      <c r="J3102" s="9"/>
      <c r="K3102" s="9"/>
      <c r="L3102" s="9"/>
      <c r="M3102" s="9"/>
    </row>
    <row r="3103">
      <c r="J3103" s="9"/>
      <c r="K3103" s="9"/>
      <c r="L3103" s="9"/>
      <c r="M3103" s="9"/>
    </row>
    <row r="3104">
      <c r="J3104" s="9"/>
      <c r="K3104" s="9"/>
      <c r="L3104" s="9"/>
      <c r="M3104" s="9"/>
    </row>
    <row r="3105">
      <c r="J3105" s="9"/>
      <c r="K3105" s="9"/>
      <c r="L3105" s="9"/>
      <c r="M3105" s="9"/>
    </row>
    <row r="3106">
      <c r="J3106" s="9"/>
      <c r="K3106" s="9"/>
      <c r="L3106" s="9"/>
      <c r="M3106" s="9"/>
    </row>
    <row r="3107">
      <c r="J3107" s="9"/>
      <c r="K3107" s="9"/>
      <c r="L3107" s="9"/>
      <c r="M3107" s="9"/>
    </row>
    <row r="3108">
      <c r="J3108" s="9"/>
      <c r="K3108" s="9"/>
      <c r="L3108" s="9"/>
      <c r="M3108" s="9"/>
    </row>
    <row r="3109">
      <c r="J3109" s="9"/>
      <c r="K3109" s="9"/>
      <c r="L3109" s="9"/>
      <c r="M3109" s="9"/>
    </row>
    <row r="3110">
      <c r="J3110" s="9"/>
      <c r="K3110" s="9"/>
      <c r="L3110" s="9"/>
      <c r="M3110" s="9"/>
    </row>
    <row r="3111">
      <c r="J3111" s="9"/>
      <c r="K3111" s="9"/>
      <c r="L3111" s="9"/>
      <c r="M3111" s="9"/>
    </row>
    <row r="3112">
      <c r="J3112" s="9"/>
      <c r="K3112" s="9"/>
      <c r="L3112" s="9"/>
      <c r="M3112" s="9"/>
    </row>
    <row r="3113">
      <c r="J3113" s="9"/>
      <c r="K3113" s="9"/>
      <c r="L3113" s="9"/>
      <c r="M3113" s="9"/>
    </row>
    <row r="3114">
      <c r="J3114" s="9"/>
      <c r="K3114" s="9"/>
      <c r="L3114" s="9"/>
      <c r="M3114" s="9"/>
    </row>
    <row r="3115">
      <c r="J3115" s="9"/>
      <c r="K3115" s="9"/>
      <c r="L3115" s="9"/>
      <c r="M3115" s="9"/>
    </row>
    <row r="3116">
      <c r="J3116" s="9"/>
      <c r="K3116" s="9"/>
      <c r="L3116" s="9"/>
      <c r="M3116" s="9"/>
    </row>
    <row r="3117">
      <c r="J3117" s="9"/>
      <c r="K3117" s="9"/>
      <c r="L3117" s="9"/>
      <c r="M3117" s="9"/>
    </row>
    <row r="3118">
      <c r="J3118" s="9"/>
      <c r="K3118" s="9"/>
      <c r="L3118" s="9"/>
      <c r="M3118" s="9"/>
    </row>
    <row r="3119">
      <c r="J3119" s="9"/>
      <c r="K3119" s="9"/>
      <c r="L3119" s="9"/>
      <c r="M3119" s="9"/>
    </row>
    <row r="3120">
      <c r="J3120" s="9"/>
      <c r="K3120" s="9"/>
      <c r="L3120" s="9"/>
      <c r="M3120" s="9"/>
    </row>
    <row r="3121">
      <c r="J3121" s="9"/>
      <c r="K3121" s="9"/>
      <c r="L3121" s="9"/>
      <c r="M3121" s="9"/>
    </row>
    <row r="3122">
      <c r="J3122" s="9"/>
      <c r="K3122" s="9"/>
      <c r="L3122" s="9"/>
      <c r="M3122" s="9"/>
    </row>
    <row r="3123">
      <c r="J3123" s="9"/>
      <c r="K3123" s="9"/>
      <c r="L3123" s="9"/>
      <c r="M3123" s="9"/>
    </row>
    <row r="3124">
      <c r="J3124" s="9"/>
      <c r="K3124" s="9"/>
      <c r="L3124" s="9"/>
      <c r="M3124" s="9"/>
    </row>
    <row r="3125">
      <c r="J3125" s="9"/>
      <c r="K3125" s="9"/>
      <c r="L3125" s="9"/>
      <c r="M3125" s="9"/>
    </row>
    <row r="3126">
      <c r="J3126" s="9"/>
      <c r="K3126" s="9"/>
      <c r="L3126" s="9"/>
      <c r="M3126" s="9"/>
    </row>
    <row r="3127">
      <c r="J3127" s="9"/>
      <c r="K3127" s="9"/>
      <c r="L3127" s="9"/>
      <c r="M3127" s="9"/>
    </row>
    <row r="3128">
      <c r="J3128" s="9"/>
      <c r="K3128" s="9"/>
      <c r="L3128" s="9"/>
      <c r="M3128" s="9"/>
    </row>
    <row r="3129">
      <c r="J3129" s="9"/>
      <c r="K3129" s="9"/>
      <c r="L3129" s="9"/>
      <c r="M3129" s="9"/>
    </row>
    <row r="3130">
      <c r="J3130" s="9"/>
      <c r="K3130" s="9"/>
      <c r="L3130" s="9"/>
      <c r="M3130" s="9"/>
    </row>
    <row r="3131">
      <c r="J3131" s="9"/>
      <c r="K3131" s="9"/>
      <c r="L3131" s="9"/>
      <c r="M3131" s="9"/>
    </row>
    <row r="3132">
      <c r="J3132" s="9"/>
      <c r="K3132" s="9"/>
      <c r="L3132" s="9"/>
      <c r="M3132" s="9"/>
    </row>
    <row r="3133">
      <c r="J3133" s="9"/>
      <c r="K3133" s="9"/>
      <c r="L3133" s="9"/>
      <c r="M3133" s="9"/>
    </row>
    <row r="3134">
      <c r="J3134" s="9"/>
      <c r="K3134" s="9"/>
      <c r="L3134" s="9"/>
      <c r="M3134" s="9"/>
    </row>
    <row r="3135">
      <c r="J3135" s="9"/>
      <c r="K3135" s="9"/>
      <c r="L3135" s="9"/>
      <c r="M3135" s="9"/>
    </row>
    <row r="3136">
      <c r="J3136" s="9"/>
      <c r="K3136" s="9"/>
      <c r="L3136" s="9"/>
      <c r="M3136" s="9"/>
    </row>
    <row r="3137">
      <c r="J3137" s="9"/>
      <c r="K3137" s="9"/>
      <c r="L3137" s="9"/>
      <c r="M3137" s="9"/>
    </row>
    <row r="3138">
      <c r="J3138" s="9"/>
      <c r="K3138" s="9"/>
      <c r="L3138" s="9"/>
      <c r="M3138" s="9"/>
    </row>
    <row r="3139">
      <c r="J3139" s="9"/>
      <c r="K3139" s="9"/>
      <c r="L3139" s="9"/>
      <c r="M3139" s="9"/>
    </row>
    <row r="3140">
      <c r="J3140" s="9"/>
      <c r="K3140" s="9"/>
      <c r="L3140" s="9"/>
      <c r="M3140" s="9"/>
    </row>
    <row r="3141">
      <c r="J3141" s="9"/>
      <c r="K3141" s="9"/>
      <c r="L3141" s="9"/>
      <c r="M3141" s="9"/>
    </row>
    <row r="3142">
      <c r="J3142" s="9"/>
      <c r="K3142" s="9"/>
      <c r="L3142" s="9"/>
      <c r="M3142" s="9"/>
    </row>
    <row r="3143">
      <c r="J3143" s="9"/>
      <c r="K3143" s="9"/>
      <c r="L3143" s="9"/>
      <c r="M3143" s="9"/>
    </row>
    <row r="3144">
      <c r="J3144" s="9"/>
      <c r="K3144" s="9"/>
      <c r="L3144" s="9"/>
      <c r="M3144" s="9"/>
    </row>
    <row r="3145">
      <c r="J3145" s="9"/>
      <c r="K3145" s="9"/>
      <c r="L3145" s="9"/>
      <c r="M3145" s="9"/>
    </row>
    <row r="3146">
      <c r="J3146" s="9"/>
      <c r="K3146" s="9"/>
      <c r="L3146" s="9"/>
      <c r="M3146" s="9"/>
    </row>
    <row r="3147">
      <c r="J3147" s="9"/>
      <c r="K3147" s="9"/>
      <c r="L3147" s="9"/>
      <c r="M3147" s="9"/>
    </row>
    <row r="3148">
      <c r="J3148" s="9"/>
      <c r="K3148" s="9"/>
      <c r="L3148" s="9"/>
      <c r="M3148" s="9"/>
    </row>
    <row r="3149">
      <c r="J3149" s="9"/>
      <c r="K3149" s="9"/>
      <c r="L3149" s="9"/>
      <c r="M3149" s="9"/>
    </row>
    <row r="3150">
      <c r="J3150" s="9"/>
      <c r="K3150" s="9"/>
      <c r="L3150" s="9"/>
      <c r="M3150" s="9"/>
    </row>
    <row r="3151">
      <c r="J3151" s="9"/>
      <c r="K3151" s="9"/>
      <c r="L3151" s="9"/>
      <c r="M3151" s="9"/>
    </row>
    <row r="3152">
      <c r="J3152" s="9"/>
      <c r="K3152" s="9"/>
      <c r="L3152" s="9"/>
      <c r="M3152" s="9"/>
    </row>
    <row r="3153">
      <c r="J3153" s="9"/>
      <c r="K3153" s="9"/>
      <c r="L3153" s="9"/>
      <c r="M3153" s="9"/>
    </row>
    <row r="3154">
      <c r="J3154" s="9"/>
      <c r="K3154" s="9"/>
      <c r="L3154" s="9"/>
      <c r="M3154" s="9"/>
    </row>
    <row r="3155">
      <c r="J3155" s="9"/>
      <c r="K3155" s="9"/>
      <c r="L3155" s="9"/>
      <c r="M3155" s="9"/>
    </row>
    <row r="3156">
      <c r="J3156" s="9"/>
      <c r="K3156" s="9"/>
      <c r="L3156" s="9"/>
      <c r="M3156" s="9"/>
    </row>
    <row r="3157">
      <c r="J3157" s="9"/>
      <c r="K3157" s="9"/>
      <c r="L3157" s="9"/>
      <c r="M3157" s="9"/>
    </row>
    <row r="3158">
      <c r="J3158" s="9"/>
      <c r="K3158" s="9"/>
      <c r="L3158" s="9"/>
      <c r="M3158" s="9"/>
    </row>
    <row r="3159">
      <c r="J3159" s="9"/>
      <c r="K3159" s="9"/>
      <c r="L3159" s="9"/>
      <c r="M3159" s="9"/>
    </row>
    <row r="3160">
      <c r="J3160" s="9"/>
      <c r="K3160" s="9"/>
      <c r="L3160" s="9"/>
      <c r="M3160" s="9"/>
    </row>
    <row r="3161">
      <c r="J3161" s="9"/>
      <c r="K3161" s="9"/>
      <c r="L3161" s="9"/>
      <c r="M3161" s="9"/>
    </row>
    <row r="3162">
      <c r="J3162" s="9"/>
      <c r="K3162" s="9"/>
      <c r="L3162" s="9"/>
      <c r="M3162" s="9"/>
    </row>
    <row r="3163">
      <c r="J3163" s="9"/>
      <c r="K3163" s="9"/>
      <c r="L3163" s="9"/>
      <c r="M3163" s="9"/>
    </row>
    <row r="3164">
      <c r="J3164" s="9"/>
      <c r="K3164" s="9"/>
      <c r="L3164" s="9"/>
      <c r="M3164" s="9"/>
    </row>
    <row r="3165">
      <c r="J3165" s="9"/>
      <c r="K3165" s="9"/>
      <c r="L3165" s="9"/>
      <c r="M3165" s="9"/>
    </row>
    <row r="3166">
      <c r="J3166" s="9"/>
      <c r="K3166" s="9"/>
      <c r="L3166" s="9"/>
      <c r="M3166" s="9"/>
    </row>
    <row r="3167">
      <c r="J3167" s="9"/>
      <c r="K3167" s="9"/>
      <c r="L3167" s="9"/>
      <c r="M3167" s="9"/>
    </row>
    <row r="3168">
      <c r="J3168" s="9"/>
      <c r="K3168" s="9"/>
      <c r="L3168" s="9"/>
      <c r="M3168" s="9"/>
    </row>
    <row r="3169">
      <c r="J3169" s="9"/>
      <c r="K3169" s="9"/>
      <c r="L3169" s="9"/>
      <c r="M3169" s="9"/>
    </row>
    <row r="3170">
      <c r="J3170" s="9"/>
      <c r="K3170" s="9"/>
      <c r="L3170" s="9"/>
      <c r="M3170" s="9"/>
    </row>
    <row r="3171">
      <c r="J3171" s="9"/>
      <c r="K3171" s="9"/>
      <c r="L3171" s="9"/>
      <c r="M3171" s="9"/>
    </row>
    <row r="3172">
      <c r="J3172" s="9"/>
      <c r="K3172" s="9"/>
      <c r="L3172" s="9"/>
      <c r="M3172" s="9"/>
    </row>
    <row r="3173">
      <c r="J3173" s="9"/>
      <c r="K3173" s="9"/>
      <c r="L3173" s="9"/>
      <c r="M3173" s="9"/>
    </row>
    <row r="3174">
      <c r="J3174" s="9"/>
      <c r="K3174" s="9"/>
      <c r="L3174" s="9"/>
      <c r="M3174" s="9"/>
    </row>
    <row r="3175">
      <c r="J3175" s="9"/>
      <c r="K3175" s="9"/>
      <c r="L3175" s="9"/>
      <c r="M3175" s="9"/>
    </row>
    <row r="3176">
      <c r="J3176" s="9"/>
      <c r="K3176" s="9"/>
      <c r="L3176" s="9"/>
      <c r="M3176" s="9"/>
    </row>
    <row r="3177">
      <c r="J3177" s="9"/>
      <c r="K3177" s="9"/>
      <c r="L3177" s="9"/>
      <c r="M3177" s="9"/>
    </row>
    <row r="3178">
      <c r="J3178" s="9"/>
      <c r="K3178" s="9"/>
      <c r="L3178" s="9"/>
      <c r="M3178" s="9"/>
    </row>
    <row r="3179">
      <c r="J3179" s="9"/>
      <c r="K3179" s="9"/>
      <c r="L3179" s="9"/>
      <c r="M3179" s="9"/>
    </row>
    <row r="3180">
      <c r="J3180" s="9"/>
      <c r="K3180" s="9"/>
      <c r="L3180" s="9"/>
      <c r="M3180" s="9"/>
    </row>
    <row r="3181">
      <c r="J3181" s="9"/>
      <c r="K3181" s="9"/>
      <c r="L3181" s="9"/>
      <c r="M3181" s="9"/>
    </row>
    <row r="3182">
      <c r="J3182" s="9"/>
      <c r="K3182" s="9"/>
      <c r="L3182" s="9"/>
      <c r="M3182" s="9"/>
    </row>
    <row r="3183">
      <c r="J3183" s="9"/>
      <c r="K3183" s="9"/>
      <c r="L3183" s="9"/>
      <c r="M3183" s="9"/>
    </row>
    <row r="3184">
      <c r="J3184" s="9"/>
      <c r="K3184" s="9"/>
      <c r="L3184" s="9"/>
      <c r="M3184" s="9"/>
    </row>
    <row r="3185">
      <c r="J3185" s="9"/>
      <c r="K3185" s="9"/>
      <c r="L3185" s="9"/>
      <c r="M3185" s="9"/>
    </row>
    <row r="3186">
      <c r="J3186" s="9"/>
      <c r="K3186" s="9"/>
      <c r="L3186" s="9"/>
      <c r="M3186" s="9"/>
    </row>
    <row r="3187">
      <c r="J3187" s="9"/>
      <c r="K3187" s="9"/>
      <c r="L3187" s="9"/>
      <c r="M3187" s="9"/>
    </row>
    <row r="3188">
      <c r="J3188" s="9"/>
      <c r="K3188" s="9"/>
      <c r="L3188" s="9"/>
      <c r="M3188" s="9"/>
    </row>
    <row r="3189">
      <c r="J3189" s="9"/>
      <c r="K3189" s="9"/>
      <c r="L3189" s="9"/>
      <c r="M3189" s="9"/>
    </row>
    <row r="3190">
      <c r="J3190" s="9"/>
      <c r="K3190" s="9"/>
      <c r="L3190" s="9"/>
      <c r="M3190" s="9"/>
    </row>
    <row r="3191">
      <c r="J3191" s="9"/>
      <c r="K3191" s="9"/>
      <c r="L3191" s="9"/>
      <c r="M3191" s="9"/>
    </row>
    <row r="3192">
      <c r="J3192" s="9"/>
      <c r="K3192" s="9"/>
      <c r="L3192" s="9"/>
      <c r="M3192" s="9"/>
    </row>
    <row r="3193">
      <c r="J3193" s="9"/>
      <c r="K3193" s="9"/>
      <c r="L3193" s="9"/>
      <c r="M3193" s="9"/>
    </row>
    <row r="3194">
      <c r="J3194" s="9"/>
      <c r="K3194" s="9"/>
      <c r="L3194" s="9"/>
      <c r="M3194" s="9"/>
    </row>
    <row r="3195">
      <c r="J3195" s="9"/>
      <c r="K3195" s="9"/>
      <c r="L3195" s="9"/>
      <c r="M3195" s="9"/>
    </row>
    <row r="3196">
      <c r="J3196" s="9"/>
      <c r="K3196" s="9"/>
      <c r="L3196" s="9"/>
      <c r="M3196" s="9"/>
    </row>
    <row r="3197">
      <c r="J3197" s="9"/>
      <c r="K3197" s="9"/>
      <c r="L3197" s="9"/>
      <c r="M3197" s="9"/>
    </row>
    <row r="3198">
      <c r="J3198" s="9"/>
      <c r="K3198" s="9"/>
      <c r="L3198" s="9"/>
      <c r="M3198" s="9"/>
    </row>
    <row r="3199">
      <c r="J3199" s="9"/>
      <c r="K3199" s="9"/>
      <c r="L3199" s="9"/>
      <c r="M3199" s="9"/>
    </row>
    <row r="3200">
      <c r="J3200" s="9"/>
      <c r="K3200" s="9"/>
      <c r="L3200" s="9"/>
      <c r="M3200" s="9"/>
    </row>
    <row r="3201">
      <c r="J3201" s="9"/>
      <c r="K3201" s="9"/>
      <c r="L3201" s="9"/>
      <c r="M3201" s="9"/>
    </row>
    <row r="3202">
      <c r="J3202" s="9"/>
      <c r="K3202" s="9"/>
      <c r="L3202" s="9"/>
      <c r="M3202" s="9"/>
    </row>
    <row r="3203">
      <c r="J3203" s="9"/>
      <c r="K3203" s="9"/>
      <c r="L3203" s="9"/>
      <c r="M3203" s="9"/>
    </row>
    <row r="3204">
      <c r="J3204" s="9"/>
      <c r="K3204" s="9"/>
      <c r="L3204" s="9"/>
      <c r="M3204" s="9"/>
    </row>
    <row r="3205">
      <c r="J3205" s="9"/>
      <c r="K3205" s="9"/>
      <c r="L3205" s="9"/>
      <c r="M3205" s="9"/>
    </row>
    <row r="3206">
      <c r="J3206" s="9"/>
      <c r="K3206" s="9"/>
      <c r="L3206" s="9"/>
      <c r="M3206" s="9"/>
    </row>
    <row r="3207">
      <c r="J3207" s="9"/>
      <c r="K3207" s="9"/>
      <c r="L3207" s="9"/>
      <c r="M3207" s="9"/>
    </row>
    <row r="3208">
      <c r="J3208" s="9"/>
      <c r="K3208" s="9"/>
      <c r="L3208" s="9"/>
      <c r="M3208" s="9"/>
    </row>
    <row r="3209">
      <c r="J3209" s="9"/>
      <c r="K3209" s="9"/>
      <c r="L3209" s="9"/>
      <c r="M3209" s="9"/>
    </row>
    <row r="3210">
      <c r="J3210" s="9"/>
      <c r="K3210" s="9"/>
      <c r="L3210" s="9"/>
      <c r="M3210" s="9"/>
    </row>
    <row r="3211">
      <c r="J3211" s="9"/>
      <c r="K3211" s="9"/>
      <c r="L3211" s="9"/>
      <c r="M3211" s="9"/>
    </row>
    <row r="3212">
      <c r="J3212" s="9"/>
      <c r="K3212" s="9"/>
      <c r="L3212" s="9"/>
      <c r="M3212" s="9"/>
    </row>
    <row r="3213">
      <c r="J3213" s="9"/>
      <c r="K3213" s="9"/>
      <c r="L3213" s="9"/>
      <c r="M3213" s="9"/>
    </row>
    <row r="3214">
      <c r="J3214" s="9"/>
      <c r="K3214" s="9"/>
      <c r="L3214" s="9"/>
      <c r="M3214" s="9"/>
    </row>
    <row r="3215">
      <c r="J3215" s="9"/>
      <c r="K3215" s="9"/>
      <c r="L3215" s="9"/>
      <c r="M3215" s="9"/>
    </row>
    <row r="3216">
      <c r="J3216" s="9"/>
      <c r="K3216" s="9"/>
      <c r="L3216" s="9"/>
      <c r="M3216" s="9"/>
    </row>
    <row r="3217">
      <c r="J3217" s="9"/>
      <c r="K3217" s="9"/>
      <c r="L3217" s="9"/>
      <c r="M3217" s="9"/>
    </row>
    <row r="3218">
      <c r="J3218" s="9"/>
      <c r="K3218" s="9"/>
      <c r="L3218" s="9"/>
      <c r="M3218" s="9"/>
    </row>
    <row r="3219">
      <c r="J3219" s="9"/>
      <c r="K3219" s="9"/>
      <c r="L3219" s="9"/>
      <c r="M3219" s="9"/>
    </row>
    <row r="3220">
      <c r="J3220" s="9"/>
      <c r="K3220" s="9"/>
      <c r="L3220" s="9"/>
      <c r="M3220" s="9"/>
    </row>
    <row r="3221">
      <c r="J3221" s="9"/>
      <c r="K3221" s="9"/>
      <c r="L3221" s="9"/>
      <c r="M3221" s="9"/>
    </row>
    <row r="3222">
      <c r="J3222" s="9"/>
      <c r="K3222" s="9"/>
      <c r="L3222" s="9"/>
      <c r="M3222" s="9"/>
    </row>
    <row r="3223">
      <c r="J3223" s="9"/>
      <c r="K3223" s="9"/>
      <c r="L3223" s="9"/>
      <c r="M3223" s="9"/>
    </row>
    <row r="3224">
      <c r="J3224" s="9"/>
      <c r="K3224" s="9"/>
      <c r="L3224" s="9"/>
      <c r="M3224" s="9"/>
    </row>
    <row r="3225">
      <c r="J3225" s="9"/>
      <c r="K3225" s="9"/>
      <c r="L3225" s="9"/>
      <c r="M3225" s="9"/>
    </row>
    <row r="3226">
      <c r="J3226" s="9"/>
      <c r="K3226" s="9"/>
      <c r="L3226" s="9"/>
      <c r="M3226" s="9"/>
    </row>
    <row r="3227">
      <c r="J3227" s="9"/>
      <c r="K3227" s="9"/>
      <c r="L3227" s="9"/>
      <c r="M3227" s="9"/>
    </row>
    <row r="3228">
      <c r="J3228" s="9"/>
      <c r="K3228" s="9"/>
      <c r="L3228" s="9"/>
      <c r="M3228" s="9"/>
    </row>
    <row r="3229">
      <c r="J3229" s="9"/>
      <c r="K3229" s="9"/>
      <c r="L3229" s="9"/>
      <c r="M3229" s="9"/>
    </row>
    <row r="3230">
      <c r="J3230" s="9"/>
      <c r="K3230" s="9"/>
      <c r="L3230" s="9"/>
      <c r="M3230" s="9"/>
    </row>
    <row r="3231">
      <c r="J3231" s="9"/>
      <c r="K3231" s="9"/>
      <c r="L3231" s="9"/>
      <c r="M3231" s="9"/>
    </row>
    <row r="3232">
      <c r="J3232" s="9"/>
      <c r="K3232" s="9"/>
      <c r="L3232" s="9"/>
      <c r="M3232" s="9"/>
    </row>
    <row r="3233">
      <c r="J3233" s="9"/>
      <c r="K3233" s="9"/>
      <c r="L3233" s="9"/>
      <c r="M3233" s="9"/>
    </row>
    <row r="3234">
      <c r="J3234" s="9"/>
      <c r="K3234" s="9"/>
      <c r="L3234" s="9"/>
      <c r="M3234" s="9"/>
    </row>
    <row r="3235">
      <c r="J3235" s="9"/>
      <c r="K3235" s="9"/>
      <c r="L3235" s="9"/>
      <c r="M3235" s="9"/>
    </row>
    <row r="3236">
      <c r="J3236" s="9"/>
      <c r="K3236" s="9"/>
      <c r="L3236" s="9"/>
      <c r="M3236" s="9"/>
    </row>
    <row r="3237">
      <c r="J3237" s="9"/>
      <c r="K3237" s="9"/>
      <c r="L3237" s="9"/>
      <c r="M3237" s="9"/>
    </row>
    <row r="3238">
      <c r="J3238" s="9"/>
      <c r="K3238" s="9"/>
      <c r="L3238" s="9"/>
      <c r="M3238" s="9"/>
    </row>
    <row r="3239">
      <c r="J3239" s="9"/>
      <c r="K3239" s="9"/>
      <c r="L3239" s="9"/>
      <c r="M3239" s="9"/>
    </row>
    <row r="3240">
      <c r="J3240" s="9"/>
      <c r="K3240" s="9"/>
      <c r="L3240" s="9"/>
      <c r="M3240" s="9"/>
    </row>
    <row r="3241">
      <c r="J3241" s="9"/>
      <c r="K3241" s="9"/>
      <c r="L3241" s="9"/>
      <c r="M3241" s="9"/>
    </row>
    <row r="3242">
      <c r="J3242" s="9"/>
      <c r="K3242" s="9"/>
      <c r="L3242" s="9"/>
      <c r="M3242" s="9"/>
    </row>
    <row r="3243">
      <c r="J3243" s="9"/>
      <c r="K3243" s="9"/>
      <c r="L3243" s="9"/>
      <c r="M3243" s="9"/>
    </row>
    <row r="3244">
      <c r="J3244" s="9"/>
      <c r="K3244" s="9"/>
      <c r="L3244" s="9"/>
      <c r="M3244" s="9"/>
    </row>
    <row r="3245">
      <c r="J3245" s="9"/>
      <c r="K3245" s="9"/>
      <c r="L3245" s="9"/>
      <c r="M3245" s="9"/>
    </row>
    <row r="3246">
      <c r="J3246" s="9"/>
      <c r="K3246" s="9"/>
      <c r="L3246" s="9"/>
      <c r="M3246" s="9"/>
    </row>
    <row r="3247">
      <c r="J3247" s="9"/>
      <c r="K3247" s="9"/>
      <c r="L3247" s="9"/>
      <c r="M3247" s="9"/>
    </row>
    <row r="3248">
      <c r="J3248" s="9"/>
      <c r="K3248" s="9"/>
      <c r="L3248" s="9"/>
      <c r="M3248" s="9"/>
    </row>
    <row r="3249">
      <c r="J3249" s="9"/>
      <c r="K3249" s="9"/>
      <c r="L3249" s="9"/>
      <c r="M3249" s="9"/>
    </row>
    <row r="3250">
      <c r="J3250" s="9"/>
      <c r="K3250" s="9"/>
      <c r="L3250" s="9"/>
      <c r="M3250" s="9"/>
    </row>
    <row r="3251">
      <c r="J3251" s="9"/>
      <c r="K3251" s="9"/>
      <c r="L3251" s="9"/>
      <c r="M3251" s="9"/>
    </row>
    <row r="3252">
      <c r="J3252" s="9"/>
      <c r="K3252" s="9"/>
      <c r="L3252" s="9"/>
      <c r="M3252" s="9"/>
    </row>
    <row r="3253">
      <c r="J3253" s="9"/>
      <c r="K3253" s="9"/>
      <c r="L3253" s="9"/>
      <c r="M3253" s="9"/>
    </row>
    <row r="3254">
      <c r="J3254" s="9"/>
      <c r="K3254" s="9"/>
      <c r="L3254" s="9"/>
      <c r="M3254" s="9"/>
    </row>
    <row r="3255">
      <c r="J3255" s="9"/>
      <c r="K3255" s="9"/>
      <c r="L3255" s="9"/>
      <c r="M3255" s="9"/>
    </row>
    <row r="3256">
      <c r="J3256" s="9"/>
      <c r="K3256" s="9"/>
      <c r="L3256" s="9"/>
      <c r="M3256" s="9"/>
    </row>
    <row r="3257">
      <c r="J3257" s="9"/>
      <c r="K3257" s="9"/>
      <c r="L3257" s="9"/>
      <c r="M3257" s="9"/>
    </row>
    <row r="3258">
      <c r="J3258" s="9"/>
      <c r="K3258" s="9"/>
      <c r="L3258" s="9"/>
      <c r="M3258" s="9"/>
    </row>
    <row r="3259">
      <c r="J3259" s="9"/>
      <c r="K3259" s="9"/>
      <c r="L3259" s="9"/>
      <c r="M3259" s="9"/>
    </row>
    <row r="3260">
      <c r="J3260" s="9"/>
      <c r="K3260" s="9"/>
      <c r="L3260" s="9"/>
      <c r="M3260" s="9"/>
    </row>
    <row r="3261">
      <c r="J3261" s="9"/>
      <c r="K3261" s="9"/>
      <c r="L3261" s="9"/>
      <c r="M3261" s="9"/>
    </row>
    <row r="3262">
      <c r="J3262" s="9"/>
      <c r="K3262" s="9"/>
      <c r="L3262" s="9"/>
      <c r="M3262" s="9"/>
    </row>
    <row r="3263">
      <c r="J3263" s="9"/>
      <c r="K3263" s="9"/>
      <c r="L3263" s="9"/>
      <c r="M3263" s="9"/>
    </row>
    <row r="3264">
      <c r="J3264" s="9"/>
      <c r="K3264" s="9"/>
      <c r="L3264" s="9"/>
      <c r="M3264" s="9"/>
    </row>
    <row r="3265">
      <c r="J3265" s="9"/>
      <c r="K3265" s="9"/>
      <c r="L3265" s="9"/>
      <c r="M3265" s="9"/>
    </row>
    <row r="3266">
      <c r="J3266" s="9"/>
      <c r="K3266" s="9"/>
      <c r="L3266" s="9"/>
      <c r="M3266" s="9"/>
    </row>
    <row r="3267">
      <c r="J3267" s="9"/>
      <c r="K3267" s="9"/>
      <c r="L3267" s="9"/>
      <c r="M3267" s="9"/>
    </row>
    <row r="3268">
      <c r="J3268" s="9"/>
      <c r="K3268" s="9"/>
      <c r="L3268" s="9"/>
      <c r="M3268" s="9"/>
    </row>
    <row r="3269">
      <c r="J3269" s="9"/>
      <c r="K3269" s="9"/>
      <c r="L3269" s="9"/>
      <c r="M3269" s="9"/>
    </row>
    <row r="3270">
      <c r="J3270" s="9"/>
      <c r="K3270" s="9"/>
      <c r="L3270" s="9"/>
      <c r="M3270" s="9"/>
    </row>
    <row r="3271">
      <c r="J3271" s="9"/>
      <c r="K3271" s="9"/>
      <c r="L3271" s="9"/>
      <c r="M3271" s="9"/>
    </row>
    <row r="3272">
      <c r="J3272" s="9"/>
      <c r="K3272" s="9"/>
      <c r="L3272" s="9"/>
      <c r="M3272" s="9"/>
    </row>
    <row r="3273">
      <c r="J3273" s="9"/>
      <c r="K3273" s="9"/>
      <c r="L3273" s="9"/>
      <c r="M3273" s="9"/>
    </row>
    <row r="3274">
      <c r="J3274" s="9"/>
      <c r="K3274" s="9"/>
      <c r="L3274" s="9"/>
      <c r="M3274" s="9"/>
    </row>
    <row r="3275">
      <c r="J3275" s="9"/>
      <c r="K3275" s="9"/>
      <c r="L3275" s="9"/>
      <c r="M3275" s="9"/>
    </row>
    <row r="3276">
      <c r="J3276" s="9"/>
      <c r="K3276" s="9"/>
      <c r="L3276" s="9"/>
      <c r="M3276" s="9"/>
    </row>
    <row r="3277">
      <c r="J3277" s="9"/>
      <c r="K3277" s="9"/>
      <c r="L3277" s="9"/>
      <c r="M3277" s="9"/>
    </row>
    <row r="3278">
      <c r="J3278" s="9"/>
      <c r="K3278" s="9"/>
      <c r="L3278" s="9"/>
      <c r="M3278" s="9"/>
    </row>
    <row r="3279">
      <c r="J3279" s="9"/>
      <c r="K3279" s="9"/>
      <c r="L3279" s="9"/>
      <c r="M3279" s="9"/>
    </row>
    <row r="3280">
      <c r="J3280" s="9"/>
      <c r="K3280" s="9"/>
      <c r="L3280" s="9"/>
      <c r="M3280" s="9"/>
    </row>
    <row r="3281">
      <c r="J3281" s="9"/>
      <c r="K3281" s="9"/>
      <c r="L3281" s="9"/>
      <c r="M3281" s="9"/>
    </row>
    <row r="3282">
      <c r="J3282" s="9"/>
      <c r="K3282" s="9"/>
      <c r="L3282" s="9"/>
      <c r="M3282" s="9"/>
    </row>
    <row r="3283">
      <c r="J3283" s="9"/>
      <c r="K3283" s="9"/>
      <c r="L3283" s="9"/>
      <c r="M3283" s="9"/>
    </row>
    <row r="3284">
      <c r="J3284" s="9"/>
      <c r="K3284" s="9"/>
      <c r="L3284" s="9"/>
      <c r="M3284" s="9"/>
    </row>
    <row r="3285">
      <c r="J3285" s="9"/>
      <c r="K3285" s="9"/>
      <c r="L3285" s="9"/>
      <c r="M3285" s="9"/>
    </row>
    <row r="3286">
      <c r="J3286" s="9"/>
      <c r="K3286" s="9"/>
      <c r="L3286" s="9"/>
      <c r="M3286" s="9"/>
    </row>
    <row r="3287">
      <c r="J3287" s="9"/>
      <c r="K3287" s="9"/>
      <c r="L3287" s="9"/>
      <c r="M3287" s="9"/>
    </row>
    <row r="3288">
      <c r="J3288" s="9"/>
      <c r="K3288" s="9"/>
      <c r="L3288" s="9"/>
      <c r="M3288" s="9"/>
    </row>
    <row r="3289">
      <c r="J3289" s="9"/>
      <c r="K3289" s="9"/>
      <c r="L3289" s="9"/>
      <c r="M3289" s="9"/>
    </row>
    <row r="3290">
      <c r="J3290" s="9"/>
      <c r="K3290" s="9"/>
      <c r="L3290" s="9"/>
      <c r="M3290" s="9"/>
    </row>
    <row r="3291">
      <c r="J3291" s="9"/>
      <c r="K3291" s="9"/>
      <c r="L3291" s="9"/>
      <c r="M3291" s="9"/>
    </row>
    <row r="3292">
      <c r="J3292" s="9"/>
      <c r="K3292" s="9"/>
      <c r="L3292" s="9"/>
      <c r="M3292" s="9"/>
    </row>
    <row r="3293">
      <c r="J3293" s="9"/>
      <c r="K3293" s="9"/>
      <c r="L3293" s="9"/>
      <c r="M3293" s="9"/>
    </row>
    <row r="3294">
      <c r="J3294" s="9"/>
      <c r="K3294" s="9"/>
      <c r="L3294" s="9"/>
      <c r="M3294" s="9"/>
    </row>
    <row r="3295">
      <c r="J3295" s="9"/>
      <c r="K3295" s="9"/>
      <c r="L3295" s="9"/>
      <c r="M3295" s="9"/>
    </row>
    <row r="3296">
      <c r="J3296" s="9"/>
      <c r="K3296" s="9"/>
      <c r="L3296" s="9"/>
      <c r="M3296" s="9"/>
    </row>
    <row r="3297">
      <c r="J3297" s="9"/>
      <c r="K3297" s="9"/>
      <c r="L3297" s="9"/>
      <c r="M3297" s="9"/>
    </row>
    <row r="3298">
      <c r="J3298" s="9"/>
      <c r="K3298" s="9"/>
      <c r="L3298" s="9"/>
      <c r="M3298" s="9"/>
    </row>
    <row r="3299">
      <c r="J3299" s="9"/>
      <c r="K3299" s="9"/>
      <c r="L3299" s="9"/>
      <c r="M3299" s="9"/>
    </row>
    <row r="3300">
      <c r="J3300" s="9"/>
      <c r="K3300" s="9"/>
      <c r="L3300" s="9"/>
      <c r="M3300" s="9"/>
    </row>
    <row r="3301">
      <c r="J3301" s="9"/>
      <c r="K3301" s="9"/>
      <c r="L3301" s="9"/>
      <c r="M3301" s="9"/>
    </row>
    <row r="3302">
      <c r="J3302" s="9"/>
      <c r="K3302" s="9"/>
      <c r="L3302" s="9"/>
      <c r="M3302" s="9"/>
    </row>
    <row r="3303">
      <c r="J3303" s="9"/>
      <c r="K3303" s="9"/>
      <c r="L3303" s="9"/>
      <c r="M3303" s="9"/>
    </row>
    <row r="3304">
      <c r="J3304" s="9"/>
      <c r="K3304" s="9"/>
      <c r="L3304" s="9"/>
      <c r="M3304" s="9"/>
    </row>
    <row r="3305">
      <c r="J3305" s="9"/>
      <c r="K3305" s="9"/>
      <c r="L3305" s="9"/>
      <c r="M3305" s="9"/>
    </row>
    <row r="3306">
      <c r="J3306" s="9"/>
      <c r="K3306" s="9"/>
      <c r="L3306" s="9"/>
      <c r="M3306" s="9"/>
    </row>
    <row r="3307">
      <c r="J3307" s="9"/>
      <c r="K3307" s="9"/>
      <c r="L3307" s="9"/>
      <c r="M3307" s="9"/>
    </row>
    <row r="3308">
      <c r="J3308" s="9"/>
      <c r="K3308" s="9"/>
      <c r="L3308" s="9"/>
      <c r="M3308" s="9"/>
    </row>
    <row r="3309">
      <c r="J3309" s="9"/>
      <c r="K3309" s="9"/>
      <c r="L3309" s="9"/>
      <c r="M3309" s="9"/>
    </row>
    <row r="3310">
      <c r="J3310" s="9"/>
      <c r="K3310" s="9"/>
      <c r="L3310" s="9"/>
      <c r="M3310" s="9"/>
    </row>
    <row r="3311">
      <c r="J3311" s="9"/>
      <c r="K3311" s="9"/>
      <c r="L3311" s="9"/>
      <c r="M3311" s="9"/>
    </row>
    <row r="3312">
      <c r="J3312" s="9"/>
      <c r="K3312" s="9"/>
      <c r="L3312" s="9"/>
      <c r="M3312" s="9"/>
    </row>
    <row r="3313">
      <c r="J3313" s="9"/>
      <c r="K3313" s="9"/>
      <c r="L3313" s="9"/>
      <c r="M3313" s="9"/>
    </row>
    <row r="3314">
      <c r="J3314" s="9"/>
      <c r="K3314" s="9"/>
      <c r="L3314" s="9"/>
      <c r="M3314" s="9"/>
    </row>
    <row r="3315">
      <c r="J3315" s="9"/>
      <c r="K3315" s="9"/>
      <c r="L3315" s="9"/>
      <c r="M3315" s="9"/>
    </row>
    <row r="3316">
      <c r="J3316" s="9"/>
      <c r="K3316" s="9"/>
      <c r="L3316" s="9"/>
      <c r="M3316" s="9"/>
    </row>
    <row r="3317">
      <c r="J3317" s="9"/>
      <c r="K3317" s="9"/>
      <c r="L3317" s="9"/>
      <c r="M3317" s="9"/>
    </row>
    <row r="3318">
      <c r="J3318" s="9"/>
      <c r="K3318" s="9"/>
      <c r="L3318" s="9"/>
      <c r="M3318" s="9"/>
    </row>
    <row r="3319">
      <c r="J3319" s="9"/>
      <c r="K3319" s="9"/>
      <c r="L3319" s="9"/>
      <c r="M3319" s="9"/>
    </row>
    <row r="3320">
      <c r="J3320" s="9"/>
      <c r="K3320" s="9"/>
      <c r="L3320" s="9"/>
      <c r="M3320" s="9"/>
    </row>
    <row r="3321">
      <c r="J3321" s="9"/>
      <c r="K3321" s="9"/>
      <c r="L3321" s="9"/>
      <c r="M3321" s="9"/>
    </row>
    <row r="3322">
      <c r="J3322" s="9"/>
      <c r="K3322" s="9"/>
      <c r="L3322" s="9"/>
      <c r="M3322" s="9"/>
    </row>
    <row r="3323">
      <c r="J3323" s="9"/>
      <c r="K3323" s="9"/>
      <c r="L3323" s="9"/>
      <c r="M3323" s="9"/>
    </row>
    <row r="3324">
      <c r="J3324" s="9"/>
      <c r="K3324" s="9"/>
      <c r="L3324" s="9"/>
      <c r="M3324" s="9"/>
    </row>
    <row r="3325">
      <c r="J3325" s="9"/>
      <c r="K3325" s="9"/>
      <c r="L3325" s="9"/>
      <c r="M3325" s="9"/>
    </row>
    <row r="3326">
      <c r="J3326" s="9"/>
      <c r="K3326" s="9"/>
      <c r="L3326" s="9"/>
      <c r="M3326" s="9"/>
    </row>
    <row r="3327">
      <c r="J3327" s="9"/>
      <c r="K3327" s="9"/>
      <c r="L3327" s="9"/>
      <c r="M3327" s="9"/>
    </row>
    <row r="3328">
      <c r="J3328" s="9"/>
      <c r="K3328" s="9"/>
      <c r="L3328" s="9"/>
      <c r="M3328" s="9"/>
    </row>
    <row r="3329">
      <c r="J3329" s="9"/>
      <c r="K3329" s="9"/>
      <c r="L3329" s="9"/>
      <c r="M3329" s="9"/>
    </row>
    <row r="3330">
      <c r="J3330" s="9"/>
      <c r="K3330" s="9"/>
      <c r="L3330" s="9"/>
      <c r="M3330" s="9"/>
    </row>
    <row r="3331">
      <c r="J3331" s="9"/>
      <c r="K3331" s="9"/>
      <c r="L3331" s="9"/>
      <c r="M3331" s="9"/>
    </row>
    <row r="3332">
      <c r="J3332" s="9"/>
      <c r="K3332" s="9"/>
      <c r="L3332" s="9"/>
      <c r="M3332" s="9"/>
    </row>
    <row r="3333">
      <c r="J3333" s="9"/>
      <c r="K3333" s="9"/>
      <c r="L3333" s="9"/>
      <c r="M3333" s="9"/>
    </row>
    <row r="3334">
      <c r="J3334" s="9"/>
      <c r="K3334" s="9"/>
      <c r="L3334" s="9"/>
      <c r="M3334" s="9"/>
    </row>
    <row r="3335">
      <c r="J3335" s="9"/>
      <c r="K3335" s="9"/>
      <c r="L3335" s="9"/>
      <c r="M3335" s="9"/>
    </row>
    <row r="3336">
      <c r="J3336" s="9"/>
      <c r="K3336" s="9"/>
      <c r="L3336" s="9"/>
      <c r="M3336" s="9"/>
    </row>
    <row r="3337">
      <c r="J3337" s="9"/>
      <c r="K3337" s="9"/>
      <c r="L3337" s="9"/>
      <c r="M3337" s="9"/>
    </row>
    <row r="3338">
      <c r="J3338" s="9"/>
      <c r="K3338" s="9"/>
      <c r="L3338" s="9"/>
      <c r="M3338" s="9"/>
    </row>
    <row r="3339">
      <c r="J3339" s="9"/>
      <c r="K3339" s="9"/>
      <c r="L3339" s="9"/>
      <c r="M3339" s="9"/>
    </row>
    <row r="3340">
      <c r="J3340" s="9"/>
      <c r="K3340" s="9"/>
      <c r="L3340" s="9"/>
      <c r="M3340" s="9"/>
    </row>
    <row r="3341">
      <c r="J3341" s="9"/>
      <c r="K3341" s="9"/>
      <c r="L3341" s="9"/>
      <c r="M3341" s="9"/>
    </row>
    <row r="3342">
      <c r="J3342" s="9"/>
      <c r="K3342" s="9"/>
      <c r="L3342" s="9"/>
      <c r="M3342" s="9"/>
    </row>
    <row r="3343">
      <c r="J3343" s="9"/>
      <c r="K3343" s="9"/>
      <c r="L3343" s="9"/>
      <c r="M3343" s="9"/>
    </row>
    <row r="3344">
      <c r="J3344" s="9"/>
      <c r="K3344" s="9"/>
      <c r="L3344" s="9"/>
      <c r="M3344" s="9"/>
    </row>
    <row r="3345">
      <c r="J3345" s="9"/>
      <c r="K3345" s="9"/>
      <c r="L3345" s="9"/>
      <c r="M3345" s="9"/>
    </row>
    <row r="3346">
      <c r="J3346" s="9"/>
      <c r="K3346" s="9"/>
      <c r="L3346" s="9"/>
      <c r="M3346" s="9"/>
    </row>
    <row r="3347">
      <c r="J3347" s="9"/>
      <c r="K3347" s="9"/>
      <c r="L3347" s="9"/>
      <c r="M3347" s="9"/>
    </row>
    <row r="3348">
      <c r="J3348" s="9"/>
      <c r="K3348" s="9"/>
      <c r="L3348" s="9"/>
      <c r="M3348" s="9"/>
    </row>
    <row r="3349">
      <c r="J3349" s="9"/>
      <c r="K3349" s="9"/>
      <c r="L3349" s="9"/>
      <c r="M3349" s="9"/>
    </row>
    <row r="3350">
      <c r="J3350" s="9"/>
      <c r="K3350" s="9"/>
      <c r="L3350" s="9"/>
      <c r="M3350" s="9"/>
    </row>
    <row r="3351">
      <c r="J3351" s="9"/>
      <c r="K3351" s="9"/>
      <c r="L3351" s="9"/>
      <c r="M3351" s="9"/>
    </row>
    <row r="3352">
      <c r="J3352" s="9"/>
      <c r="K3352" s="9"/>
      <c r="L3352" s="9"/>
      <c r="M3352" s="9"/>
    </row>
    <row r="3353">
      <c r="J3353" s="9"/>
      <c r="K3353" s="9"/>
      <c r="L3353" s="9"/>
      <c r="M3353" s="9"/>
    </row>
    <row r="3354">
      <c r="J3354" s="9"/>
      <c r="K3354" s="9"/>
      <c r="L3354" s="9"/>
      <c r="M3354" s="9"/>
    </row>
    <row r="3355">
      <c r="J3355" s="9"/>
      <c r="K3355" s="9"/>
      <c r="L3355" s="9"/>
      <c r="M3355" s="9"/>
    </row>
    <row r="3356">
      <c r="J3356" s="9"/>
      <c r="K3356" s="9"/>
      <c r="L3356" s="9"/>
      <c r="M3356" s="9"/>
    </row>
    <row r="3357">
      <c r="J3357" s="9"/>
      <c r="K3357" s="9"/>
      <c r="L3357" s="9"/>
      <c r="M3357" s="9"/>
    </row>
    <row r="3358">
      <c r="J3358" s="9"/>
      <c r="K3358" s="9"/>
      <c r="L3358" s="9"/>
      <c r="M3358" s="9"/>
    </row>
    <row r="3359">
      <c r="J3359" s="9"/>
      <c r="K3359" s="9"/>
      <c r="L3359" s="9"/>
      <c r="M3359" s="9"/>
    </row>
    <row r="3360">
      <c r="J3360" s="9"/>
      <c r="K3360" s="9"/>
      <c r="L3360" s="9"/>
      <c r="M3360" s="9"/>
    </row>
    <row r="3361">
      <c r="J3361" s="9"/>
      <c r="K3361" s="9"/>
      <c r="L3361" s="9"/>
      <c r="M3361" s="9"/>
    </row>
    <row r="3362">
      <c r="J3362" s="9"/>
      <c r="K3362" s="9"/>
      <c r="L3362" s="9"/>
      <c r="M3362" s="9"/>
    </row>
    <row r="3363">
      <c r="J3363" s="9"/>
      <c r="K3363" s="9"/>
      <c r="L3363" s="9"/>
      <c r="M3363" s="9"/>
    </row>
    <row r="3364">
      <c r="J3364" s="9"/>
      <c r="K3364" s="9"/>
      <c r="L3364" s="9"/>
      <c r="M3364" s="9"/>
    </row>
    <row r="3365">
      <c r="J3365" s="9"/>
      <c r="K3365" s="9"/>
      <c r="L3365" s="9"/>
      <c r="M3365" s="9"/>
    </row>
    <row r="3366">
      <c r="J3366" s="9"/>
      <c r="K3366" s="9"/>
      <c r="L3366" s="9"/>
      <c r="M3366" s="9"/>
    </row>
    <row r="3367">
      <c r="J3367" s="9"/>
      <c r="K3367" s="9"/>
      <c r="L3367" s="9"/>
      <c r="M3367" s="9"/>
    </row>
    <row r="3368">
      <c r="J3368" s="9"/>
      <c r="K3368" s="9"/>
      <c r="L3368" s="9"/>
      <c r="M3368" s="9"/>
    </row>
    <row r="3369">
      <c r="J3369" s="9"/>
      <c r="K3369" s="9"/>
      <c r="L3369" s="9"/>
      <c r="M3369" s="9"/>
    </row>
    <row r="3370">
      <c r="J3370" s="9"/>
      <c r="K3370" s="9"/>
      <c r="L3370" s="9"/>
      <c r="M3370" s="9"/>
    </row>
    <row r="3371">
      <c r="J3371" s="9"/>
      <c r="K3371" s="9"/>
      <c r="L3371" s="9"/>
      <c r="M3371" s="9"/>
    </row>
    <row r="3372">
      <c r="J3372" s="9"/>
      <c r="K3372" s="9"/>
      <c r="L3372" s="9"/>
      <c r="M3372" s="9"/>
    </row>
    <row r="3373">
      <c r="J3373" s="9"/>
      <c r="K3373" s="9"/>
      <c r="L3373" s="9"/>
      <c r="M3373" s="9"/>
    </row>
    <row r="3374">
      <c r="J3374" s="9"/>
      <c r="K3374" s="9"/>
      <c r="L3374" s="9"/>
      <c r="M3374" s="9"/>
    </row>
    <row r="3375">
      <c r="J3375" s="9"/>
      <c r="K3375" s="9"/>
      <c r="L3375" s="9"/>
      <c r="M3375" s="9"/>
    </row>
    <row r="3376">
      <c r="J3376" s="9"/>
      <c r="K3376" s="9"/>
      <c r="L3376" s="9"/>
      <c r="M3376" s="9"/>
    </row>
    <row r="3377">
      <c r="J3377" s="9"/>
      <c r="K3377" s="9"/>
      <c r="L3377" s="9"/>
      <c r="M3377" s="9"/>
    </row>
    <row r="3378">
      <c r="J3378" s="9"/>
      <c r="K3378" s="9"/>
      <c r="L3378" s="9"/>
      <c r="M3378" s="9"/>
    </row>
    <row r="3379">
      <c r="J3379" s="9"/>
      <c r="K3379" s="9"/>
      <c r="L3379" s="9"/>
      <c r="M3379" s="9"/>
    </row>
    <row r="3380">
      <c r="J3380" s="9"/>
      <c r="K3380" s="9"/>
      <c r="L3380" s="9"/>
      <c r="M3380" s="9"/>
    </row>
    <row r="3381">
      <c r="J3381" s="9"/>
      <c r="K3381" s="9"/>
      <c r="L3381" s="9"/>
      <c r="M3381" s="9"/>
    </row>
    <row r="3382">
      <c r="J3382" s="9"/>
      <c r="K3382" s="9"/>
      <c r="L3382" s="9"/>
      <c r="M3382" s="9"/>
    </row>
    <row r="3383">
      <c r="J3383" s="9"/>
      <c r="K3383" s="9"/>
      <c r="L3383" s="9"/>
      <c r="M3383" s="9"/>
    </row>
    <row r="3384">
      <c r="J3384" s="9"/>
      <c r="K3384" s="9"/>
      <c r="L3384" s="9"/>
      <c r="M3384" s="9"/>
    </row>
    <row r="3385">
      <c r="J3385" s="9"/>
      <c r="K3385" s="9"/>
      <c r="L3385" s="9"/>
      <c r="M3385" s="9"/>
    </row>
    <row r="3386">
      <c r="J3386" s="9"/>
      <c r="K3386" s="9"/>
      <c r="L3386" s="9"/>
      <c r="M3386" s="9"/>
    </row>
    <row r="3387">
      <c r="J3387" s="9"/>
      <c r="K3387" s="9"/>
      <c r="L3387" s="9"/>
      <c r="M3387" s="9"/>
    </row>
    <row r="3388">
      <c r="J3388" s="9"/>
      <c r="K3388" s="9"/>
      <c r="L3388" s="9"/>
      <c r="M3388" s="9"/>
    </row>
    <row r="3389">
      <c r="J3389" s="9"/>
      <c r="K3389" s="9"/>
      <c r="L3389" s="9"/>
      <c r="M3389" s="9"/>
    </row>
    <row r="3390">
      <c r="J3390" s="9"/>
      <c r="K3390" s="9"/>
      <c r="L3390" s="9"/>
      <c r="M3390" s="9"/>
    </row>
    <row r="3391">
      <c r="J3391" s="9"/>
      <c r="K3391" s="9"/>
      <c r="L3391" s="9"/>
      <c r="M3391" s="9"/>
    </row>
    <row r="3392">
      <c r="J3392" s="9"/>
      <c r="K3392" s="9"/>
      <c r="L3392" s="9"/>
      <c r="M3392" s="9"/>
    </row>
    <row r="3393">
      <c r="J3393" s="9"/>
      <c r="K3393" s="9"/>
      <c r="L3393" s="9"/>
      <c r="M3393" s="9"/>
    </row>
    <row r="3394">
      <c r="J3394" s="9"/>
      <c r="K3394" s="9"/>
      <c r="L3394" s="9"/>
      <c r="M3394" s="9"/>
    </row>
    <row r="3395">
      <c r="J3395" s="9"/>
      <c r="K3395" s="9"/>
      <c r="L3395" s="9"/>
      <c r="M3395" s="9"/>
    </row>
    <row r="3396">
      <c r="J3396" s="9"/>
      <c r="K3396" s="9"/>
      <c r="L3396" s="9"/>
      <c r="M3396" s="9"/>
    </row>
    <row r="3397">
      <c r="J3397" s="9"/>
      <c r="K3397" s="9"/>
      <c r="L3397" s="9"/>
      <c r="M3397" s="9"/>
    </row>
    <row r="3398">
      <c r="J3398" s="9"/>
      <c r="K3398" s="9"/>
      <c r="L3398" s="9"/>
      <c r="M3398" s="9"/>
    </row>
    <row r="3399">
      <c r="J3399" s="9"/>
      <c r="K3399" s="9"/>
      <c r="L3399" s="9"/>
      <c r="M3399" s="9"/>
    </row>
    <row r="3400">
      <c r="J3400" s="9"/>
      <c r="K3400" s="9"/>
      <c r="L3400" s="9"/>
      <c r="M3400" s="9"/>
    </row>
    <row r="3401">
      <c r="J3401" s="9"/>
      <c r="K3401" s="9"/>
      <c r="L3401" s="9"/>
      <c r="M3401" s="9"/>
    </row>
    <row r="3402">
      <c r="J3402" s="9"/>
      <c r="K3402" s="9"/>
      <c r="L3402" s="9"/>
      <c r="M3402" s="9"/>
    </row>
    <row r="3403">
      <c r="J3403" s="9"/>
      <c r="K3403" s="9"/>
      <c r="L3403" s="9"/>
      <c r="M3403" s="9"/>
    </row>
    <row r="3404">
      <c r="J3404" s="9"/>
      <c r="K3404" s="9"/>
      <c r="L3404" s="9"/>
      <c r="M3404" s="9"/>
    </row>
    <row r="3405">
      <c r="J3405" s="9"/>
      <c r="K3405" s="9"/>
      <c r="L3405" s="9"/>
      <c r="M3405" s="9"/>
    </row>
    <row r="3406">
      <c r="J3406" s="9"/>
      <c r="K3406" s="9"/>
      <c r="L3406" s="9"/>
      <c r="M3406" s="9"/>
    </row>
    <row r="3407">
      <c r="J3407" s="9"/>
      <c r="K3407" s="9"/>
      <c r="L3407" s="9"/>
      <c r="M3407" s="9"/>
    </row>
    <row r="3408">
      <c r="J3408" s="9"/>
      <c r="K3408" s="9"/>
      <c r="L3408" s="9"/>
      <c r="M3408" s="9"/>
    </row>
    <row r="3409">
      <c r="J3409" s="9"/>
      <c r="K3409" s="9"/>
      <c r="L3409" s="9"/>
      <c r="M3409" s="9"/>
    </row>
    <row r="3410">
      <c r="J3410" s="9"/>
      <c r="K3410" s="9"/>
      <c r="L3410" s="9"/>
      <c r="M3410" s="9"/>
    </row>
    <row r="3411">
      <c r="J3411" s="9"/>
      <c r="K3411" s="9"/>
      <c r="L3411" s="9"/>
      <c r="M3411" s="9"/>
    </row>
    <row r="3412">
      <c r="J3412" s="9"/>
      <c r="K3412" s="9"/>
      <c r="L3412" s="9"/>
      <c r="M3412" s="9"/>
    </row>
    <row r="3413">
      <c r="J3413" s="9"/>
      <c r="K3413" s="9"/>
      <c r="L3413" s="9"/>
      <c r="M3413" s="9"/>
    </row>
    <row r="3414">
      <c r="J3414" s="9"/>
      <c r="K3414" s="9"/>
      <c r="L3414" s="9"/>
      <c r="M3414" s="9"/>
    </row>
    <row r="3415">
      <c r="J3415" s="9"/>
      <c r="K3415" s="9"/>
      <c r="L3415" s="9"/>
      <c r="M3415" s="9"/>
    </row>
    <row r="3416">
      <c r="J3416" s="9"/>
      <c r="K3416" s="9"/>
      <c r="L3416" s="9"/>
      <c r="M3416" s="9"/>
    </row>
    <row r="3417">
      <c r="J3417" s="9"/>
      <c r="K3417" s="9"/>
      <c r="L3417" s="9"/>
      <c r="M3417" s="9"/>
    </row>
    <row r="3418">
      <c r="J3418" s="9"/>
      <c r="K3418" s="9"/>
      <c r="L3418" s="9"/>
      <c r="M3418" s="9"/>
    </row>
    <row r="3419">
      <c r="J3419" s="9"/>
      <c r="K3419" s="9"/>
      <c r="L3419" s="9"/>
      <c r="M3419" s="9"/>
    </row>
    <row r="3420">
      <c r="J3420" s="9"/>
      <c r="K3420" s="9"/>
      <c r="L3420" s="9"/>
      <c r="M3420" s="9"/>
    </row>
    <row r="3421">
      <c r="J3421" s="9"/>
      <c r="K3421" s="9"/>
      <c r="L3421" s="9"/>
      <c r="M3421" s="9"/>
    </row>
    <row r="3422">
      <c r="J3422" s="9"/>
      <c r="K3422" s="9"/>
      <c r="L3422" s="9"/>
      <c r="M3422" s="9"/>
    </row>
    <row r="3423">
      <c r="J3423" s="9"/>
      <c r="K3423" s="9"/>
      <c r="L3423" s="9"/>
      <c r="M3423" s="9"/>
    </row>
    <row r="3424">
      <c r="J3424" s="9"/>
      <c r="K3424" s="9"/>
      <c r="L3424" s="9"/>
      <c r="M3424" s="9"/>
    </row>
    <row r="3425">
      <c r="J3425" s="9"/>
      <c r="K3425" s="9"/>
      <c r="L3425" s="9"/>
      <c r="M3425" s="9"/>
    </row>
    <row r="3426">
      <c r="J3426" s="9"/>
      <c r="K3426" s="9"/>
      <c r="L3426" s="9"/>
      <c r="M3426" s="9"/>
    </row>
    <row r="3427">
      <c r="J3427" s="9"/>
      <c r="K3427" s="9"/>
      <c r="L3427" s="9"/>
      <c r="M3427" s="9"/>
    </row>
    <row r="3428">
      <c r="J3428" s="9"/>
      <c r="K3428" s="9"/>
      <c r="L3428" s="9"/>
      <c r="M3428" s="9"/>
    </row>
    <row r="3429">
      <c r="J3429" s="9"/>
      <c r="K3429" s="9"/>
      <c r="L3429" s="9"/>
      <c r="M3429" s="9"/>
    </row>
    <row r="3430">
      <c r="J3430" s="9"/>
      <c r="K3430" s="9"/>
      <c r="L3430" s="9"/>
      <c r="M3430" s="9"/>
    </row>
    <row r="3431">
      <c r="J3431" s="9"/>
      <c r="K3431" s="9"/>
      <c r="L3431" s="9"/>
      <c r="M3431" s="9"/>
    </row>
    <row r="3432">
      <c r="J3432" s="9"/>
      <c r="K3432" s="9"/>
      <c r="L3432" s="9"/>
      <c r="M3432" s="9"/>
    </row>
    <row r="3433">
      <c r="J3433" s="9"/>
      <c r="K3433" s="9"/>
      <c r="L3433" s="9"/>
      <c r="M3433" s="9"/>
    </row>
    <row r="3434">
      <c r="J3434" s="9"/>
      <c r="K3434" s="9"/>
      <c r="L3434" s="9"/>
      <c r="M3434" s="9"/>
    </row>
    <row r="3435">
      <c r="J3435" s="9"/>
      <c r="K3435" s="9"/>
      <c r="L3435" s="9"/>
      <c r="M3435" s="9"/>
    </row>
    <row r="3436">
      <c r="J3436" s="9"/>
      <c r="K3436" s="9"/>
      <c r="L3436" s="9"/>
      <c r="M3436" s="9"/>
    </row>
    <row r="3437">
      <c r="J3437" s="9"/>
      <c r="K3437" s="9"/>
      <c r="L3437" s="9"/>
      <c r="M3437" s="9"/>
    </row>
    <row r="3438">
      <c r="J3438" s="9"/>
      <c r="K3438" s="9"/>
      <c r="L3438" s="9"/>
      <c r="M3438" s="9"/>
    </row>
    <row r="3439">
      <c r="J3439" s="9"/>
      <c r="K3439" s="9"/>
      <c r="L3439" s="9"/>
      <c r="M3439" s="9"/>
    </row>
    <row r="3440">
      <c r="J3440" s="9"/>
      <c r="K3440" s="9"/>
      <c r="L3440" s="9"/>
      <c r="M3440" s="9"/>
    </row>
    <row r="3441">
      <c r="J3441" s="9"/>
      <c r="K3441" s="9"/>
      <c r="L3441" s="9"/>
      <c r="M3441" s="9"/>
    </row>
    <row r="3442">
      <c r="J3442" s="9"/>
      <c r="K3442" s="9"/>
      <c r="L3442" s="9"/>
      <c r="M3442" s="9"/>
    </row>
    <row r="3443">
      <c r="J3443" s="9"/>
      <c r="K3443" s="9"/>
      <c r="L3443" s="9"/>
      <c r="M3443" s="9"/>
    </row>
    <row r="3444">
      <c r="J3444" s="9"/>
      <c r="K3444" s="9"/>
      <c r="L3444" s="9"/>
      <c r="M3444" s="9"/>
    </row>
    <row r="3445">
      <c r="J3445" s="9"/>
      <c r="K3445" s="9"/>
      <c r="L3445" s="9"/>
      <c r="M3445" s="9"/>
    </row>
    <row r="3446">
      <c r="J3446" s="9"/>
      <c r="K3446" s="9"/>
      <c r="L3446" s="9"/>
      <c r="M3446" s="9"/>
    </row>
    <row r="3447">
      <c r="J3447" s="9"/>
      <c r="K3447" s="9"/>
      <c r="L3447" s="9"/>
      <c r="M3447" s="9"/>
    </row>
    <row r="3448">
      <c r="J3448" s="9"/>
      <c r="K3448" s="9"/>
      <c r="L3448" s="9"/>
      <c r="M3448" s="9"/>
    </row>
    <row r="3449">
      <c r="J3449" s="9"/>
      <c r="K3449" s="9"/>
      <c r="L3449" s="9"/>
      <c r="M3449" s="9"/>
    </row>
    <row r="3450">
      <c r="J3450" s="9"/>
      <c r="K3450" s="9"/>
      <c r="L3450" s="9"/>
      <c r="M3450" s="9"/>
    </row>
    <row r="3451">
      <c r="J3451" s="9"/>
      <c r="K3451" s="9"/>
      <c r="L3451" s="9"/>
      <c r="M3451" s="9"/>
    </row>
    <row r="3452">
      <c r="J3452" s="9"/>
      <c r="K3452" s="9"/>
      <c r="L3452" s="9"/>
      <c r="M3452" s="9"/>
    </row>
    <row r="3453">
      <c r="J3453" s="9"/>
      <c r="K3453" s="9"/>
      <c r="L3453" s="9"/>
      <c r="M3453" s="9"/>
    </row>
    <row r="3454">
      <c r="J3454" s="9"/>
      <c r="K3454" s="9"/>
      <c r="L3454" s="9"/>
      <c r="M3454" s="9"/>
    </row>
    <row r="3455">
      <c r="J3455" s="9"/>
      <c r="K3455" s="9"/>
      <c r="L3455" s="9"/>
      <c r="M3455" s="9"/>
    </row>
    <row r="3456">
      <c r="J3456" s="9"/>
      <c r="K3456" s="9"/>
      <c r="L3456" s="9"/>
      <c r="M3456" s="9"/>
    </row>
    <row r="3457">
      <c r="J3457" s="9"/>
      <c r="K3457" s="9"/>
      <c r="L3457" s="9"/>
      <c r="M3457" s="9"/>
    </row>
    <row r="3458">
      <c r="J3458" s="9"/>
      <c r="K3458" s="9"/>
      <c r="L3458" s="9"/>
      <c r="M3458" s="9"/>
    </row>
    <row r="3459">
      <c r="J3459" s="9"/>
      <c r="K3459" s="9"/>
      <c r="L3459" s="9"/>
      <c r="M3459" s="9"/>
    </row>
    <row r="3460">
      <c r="J3460" s="9"/>
      <c r="K3460" s="9"/>
      <c r="L3460" s="9"/>
      <c r="M3460" s="9"/>
    </row>
    <row r="3461">
      <c r="J3461" s="9"/>
      <c r="K3461" s="9"/>
      <c r="L3461" s="9"/>
      <c r="M3461" s="9"/>
    </row>
    <row r="3462">
      <c r="J3462" s="9"/>
      <c r="K3462" s="9"/>
      <c r="L3462" s="9"/>
      <c r="M3462" s="9"/>
    </row>
    <row r="3463">
      <c r="J3463" s="9"/>
      <c r="K3463" s="9"/>
      <c r="L3463" s="9"/>
      <c r="M3463" s="9"/>
    </row>
    <row r="3464">
      <c r="J3464" s="9"/>
      <c r="K3464" s="9"/>
      <c r="L3464" s="9"/>
      <c r="M3464" s="9"/>
    </row>
    <row r="3465">
      <c r="J3465" s="9"/>
      <c r="K3465" s="9"/>
      <c r="L3465" s="9"/>
      <c r="M3465" s="9"/>
    </row>
    <row r="3466">
      <c r="J3466" s="9"/>
      <c r="K3466" s="9"/>
      <c r="L3466" s="9"/>
      <c r="M3466" s="9"/>
    </row>
    <row r="3467">
      <c r="J3467" s="9"/>
      <c r="K3467" s="9"/>
      <c r="L3467" s="9"/>
      <c r="M3467" s="9"/>
    </row>
    <row r="3468">
      <c r="J3468" s="9"/>
      <c r="K3468" s="9"/>
      <c r="L3468" s="9"/>
      <c r="M3468" s="9"/>
    </row>
    <row r="3469">
      <c r="J3469" s="9"/>
      <c r="K3469" s="9"/>
      <c r="L3469" s="9"/>
      <c r="M3469" s="9"/>
    </row>
    <row r="3470">
      <c r="J3470" s="9"/>
      <c r="K3470" s="9"/>
      <c r="L3470" s="9"/>
      <c r="M3470" s="9"/>
    </row>
    <row r="3471">
      <c r="J3471" s="9"/>
      <c r="K3471" s="9"/>
      <c r="L3471" s="9"/>
      <c r="M3471" s="9"/>
    </row>
    <row r="3472">
      <c r="J3472" s="9"/>
      <c r="K3472" s="9"/>
      <c r="L3472" s="9"/>
      <c r="M3472" s="9"/>
    </row>
    <row r="3473">
      <c r="J3473" s="9"/>
      <c r="K3473" s="9"/>
      <c r="L3473" s="9"/>
      <c r="M3473" s="9"/>
    </row>
    <row r="3474">
      <c r="J3474" s="9"/>
      <c r="K3474" s="9"/>
      <c r="L3474" s="9"/>
      <c r="M3474" s="9"/>
    </row>
    <row r="3475">
      <c r="J3475" s="9"/>
      <c r="K3475" s="9"/>
      <c r="L3475" s="9"/>
      <c r="M3475" s="9"/>
    </row>
    <row r="3476">
      <c r="J3476" s="9"/>
      <c r="K3476" s="9"/>
      <c r="L3476" s="9"/>
      <c r="M3476" s="9"/>
    </row>
    <row r="3477">
      <c r="J3477" s="9"/>
      <c r="K3477" s="9"/>
      <c r="L3477" s="9"/>
      <c r="M3477" s="9"/>
    </row>
    <row r="3478">
      <c r="J3478" s="9"/>
      <c r="K3478" s="9"/>
      <c r="L3478" s="9"/>
      <c r="M3478" s="9"/>
    </row>
    <row r="3479">
      <c r="J3479" s="9"/>
      <c r="K3479" s="9"/>
      <c r="L3479" s="9"/>
      <c r="M3479" s="9"/>
    </row>
    <row r="3480">
      <c r="J3480" s="9"/>
      <c r="K3480" s="9"/>
      <c r="L3480" s="9"/>
      <c r="M3480" s="9"/>
    </row>
    <row r="3481">
      <c r="J3481" s="9"/>
      <c r="K3481" s="9"/>
      <c r="L3481" s="9"/>
      <c r="M3481" s="9"/>
    </row>
    <row r="3482">
      <c r="J3482" s="9"/>
      <c r="K3482" s="9"/>
      <c r="L3482" s="9"/>
      <c r="M3482" s="9"/>
    </row>
    <row r="3483">
      <c r="J3483" s="9"/>
      <c r="K3483" s="9"/>
      <c r="L3483" s="9"/>
      <c r="M3483" s="9"/>
    </row>
    <row r="3484">
      <c r="J3484" s="9"/>
      <c r="K3484" s="9"/>
      <c r="L3484" s="9"/>
      <c r="M3484" s="9"/>
    </row>
    <row r="3485">
      <c r="J3485" s="9"/>
      <c r="K3485" s="9"/>
      <c r="L3485" s="9"/>
      <c r="M3485" s="9"/>
    </row>
    <row r="3486">
      <c r="J3486" s="9"/>
      <c r="K3486" s="9"/>
      <c r="L3486" s="9"/>
      <c r="M3486" s="9"/>
    </row>
    <row r="3487">
      <c r="J3487" s="9"/>
      <c r="K3487" s="9"/>
      <c r="L3487" s="9"/>
      <c r="M3487" s="9"/>
    </row>
    <row r="3488">
      <c r="J3488" s="9"/>
      <c r="K3488" s="9"/>
      <c r="L3488" s="9"/>
      <c r="M3488" s="9"/>
    </row>
    <row r="3489">
      <c r="J3489" s="9"/>
      <c r="K3489" s="9"/>
      <c r="L3489" s="9"/>
      <c r="M3489" s="9"/>
    </row>
    <row r="3490">
      <c r="J3490" s="9"/>
      <c r="K3490" s="9"/>
      <c r="L3490" s="9"/>
      <c r="M3490" s="9"/>
    </row>
    <row r="3491">
      <c r="J3491" s="9"/>
      <c r="K3491" s="9"/>
      <c r="L3491" s="9"/>
      <c r="M3491" s="9"/>
    </row>
    <row r="3492">
      <c r="J3492" s="9"/>
      <c r="K3492" s="9"/>
      <c r="L3492" s="9"/>
      <c r="M3492" s="9"/>
    </row>
    <row r="3493">
      <c r="J3493" s="9"/>
      <c r="K3493" s="9"/>
      <c r="L3493" s="9"/>
      <c r="M3493" s="9"/>
    </row>
    <row r="3494">
      <c r="J3494" s="9"/>
      <c r="K3494" s="9"/>
      <c r="L3494" s="9"/>
      <c r="M3494" s="9"/>
    </row>
    <row r="3495">
      <c r="J3495" s="9"/>
      <c r="K3495" s="9"/>
      <c r="L3495" s="9"/>
      <c r="M3495" s="9"/>
    </row>
    <row r="3496">
      <c r="J3496" s="9"/>
      <c r="K3496" s="9"/>
      <c r="L3496" s="9"/>
      <c r="M3496" s="9"/>
    </row>
    <row r="3497">
      <c r="J3497" s="9"/>
      <c r="K3497" s="9"/>
      <c r="L3497" s="9"/>
      <c r="M3497" s="9"/>
    </row>
    <row r="3498">
      <c r="J3498" s="9"/>
      <c r="K3498" s="9"/>
      <c r="L3498" s="9"/>
      <c r="M3498" s="9"/>
    </row>
    <row r="3499">
      <c r="J3499" s="9"/>
      <c r="K3499" s="9"/>
      <c r="L3499" s="9"/>
      <c r="M3499" s="9"/>
    </row>
    <row r="3500">
      <c r="J3500" s="9"/>
      <c r="K3500" s="9"/>
      <c r="L3500" s="9"/>
      <c r="M3500" s="9"/>
    </row>
    <row r="3501">
      <c r="J3501" s="9"/>
      <c r="K3501" s="9"/>
      <c r="L3501" s="9"/>
      <c r="M3501" s="9"/>
    </row>
    <row r="3502">
      <c r="J3502" s="9"/>
      <c r="K3502" s="9"/>
      <c r="L3502" s="9"/>
      <c r="M3502" s="9"/>
    </row>
    <row r="3503">
      <c r="J3503" s="9"/>
      <c r="K3503" s="9"/>
      <c r="L3503" s="9"/>
      <c r="M3503" s="9"/>
    </row>
    <row r="3504">
      <c r="J3504" s="9"/>
      <c r="K3504" s="9"/>
      <c r="L3504" s="9"/>
      <c r="M3504" s="9"/>
    </row>
    <row r="3505">
      <c r="J3505" s="9"/>
      <c r="K3505" s="9"/>
      <c r="L3505" s="9"/>
      <c r="M3505" s="9"/>
    </row>
    <row r="3506">
      <c r="J3506" s="9"/>
      <c r="K3506" s="9"/>
      <c r="L3506" s="9"/>
      <c r="M3506" s="9"/>
    </row>
    <row r="3507">
      <c r="J3507" s="9"/>
      <c r="K3507" s="9"/>
      <c r="L3507" s="9"/>
      <c r="M3507" s="9"/>
    </row>
    <row r="3508">
      <c r="J3508" s="9"/>
      <c r="K3508" s="9"/>
      <c r="L3508" s="9"/>
      <c r="M3508" s="9"/>
    </row>
    <row r="3509">
      <c r="J3509" s="9"/>
      <c r="K3509" s="9"/>
      <c r="L3509" s="9"/>
      <c r="M3509" s="9"/>
    </row>
    <row r="3510">
      <c r="J3510" s="9"/>
      <c r="K3510" s="9"/>
      <c r="L3510" s="9"/>
      <c r="M3510" s="9"/>
    </row>
    <row r="3511">
      <c r="J3511" s="9"/>
      <c r="K3511" s="9"/>
      <c r="L3511" s="9"/>
      <c r="M3511" s="9"/>
    </row>
    <row r="3512">
      <c r="J3512" s="9"/>
      <c r="K3512" s="9"/>
      <c r="L3512" s="9"/>
      <c r="M3512" s="9"/>
    </row>
    <row r="3513">
      <c r="J3513" s="9"/>
      <c r="K3513" s="9"/>
      <c r="L3513" s="9"/>
      <c r="M3513" s="9"/>
    </row>
    <row r="3514">
      <c r="J3514" s="9"/>
      <c r="K3514" s="9"/>
      <c r="L3514" s="9"/>
      <c r="M3514" s="9"/>
    </row>
    <row r="3515">
      <c r="J3515" s="9"/>
      <c r="K3515" s="9"/>
      <c r="L3515" s="9"/>
      <c r="M3515" s="9"/>
    </row>
    <row r="3516">
      <c r="J3516" s="9"/>
      <c r="K3516" s="9"/>
      <c r="L3516" s="9"/>
      <c r="M3516" s="9"/>
    </row>
    <row r="3517">
      <c r="J3517" s="9"/>
      <c r="K3517" s="9"/>
      <c r="L3517" s="9"/>
      <c r="M3517" s="9"/>
    </row>
    <row r="3518">
      <c r="J3518" s="9"/>
      <c r="K3518" s="9"/>
      <c r="L3518" s="9"/>
      <c r="M3518" s="9"/>
    </row>
    <row r="3519">
      <c r="J3519" s="9"/>
      <c r="K3519" s="9"/>
      <c r="L3519" s="9"/>
      <c r="M3519" s="9"/>
    </row>
    <row r="3520">
      <c r="J3520" s="9"/>
      <c r="K3520" s="9"/>
      <c r="L3520" s="9"/>
      <c r="M3520" s="9"/>
    </row>
    <row r="3521">
      <c r="J3521" s="9"/>
      <c r="K3521" s="9"/>
      <c r="L3521" s="9"/>
      <c r="M3521" s="9"/>
    </row>
    <row r="3522">
      <c r="J3522" s="9"/>
      <c r="K3522" s="9"/>
      <c r="L3522" s="9"/>
      <c r="M3522" s="9"/>
    </row>
    <row r="3523">
      <c r="J3523" s="9"/>
      <c r="K3523" s="9"/>
      <c r="L3523" s="9"/>
      <c r="M3523" s="9"/>
    </row>
    <row r="3524">
      <c r="J3524" s="9"/>
      <c r="K3524" s="9"/>
      <c r="L3524" s="9"/>
      <c r="M3524" s="9"/>
    </row>
    <row r="3525">
      <c r="J3525" s="9"/>
      <c r="K3525" s="9"/>
      <c r="L3525" s="9"/>
      <c r="M3525" s="9"/>
    </row>
    <row r="3526">
      <c r="J3526" s="9"/>
      <c r="K3526" s="9"/>
      <c r="L3526" s="9"/>
      <c r="M3526" s="9"/>
    </row>
    <row r="3527">
      <c r="J3527" s="9"/>
      <c r="K3527" s="9"/>
      <c r="L3527" s="9"/>
      <c r="M3527" s="9"/>
    </row>
    <row r="3528">
      <c r="J3528" s="9"/>
      <c r="K3528" s="9"/>
      <c r="L3528" s="9"/>
      <c r="M3528" s="9"/>
    </row>
    <row r="3529">
      <c r="J3529" s="9"/>
      <c r="K3529" s="9"/>
      <c r="L3529" s="9"/>
      <c r="M3529" s="9"/>
    </row>
    <row r="3530">
      <c r="J3530" s="9"/>
      <c r="K3530" s="9"/>
      <c r="L3530" s="9"/>
      <c r="M3530" s="9"/>
    </row>
    <row r="3531">
      <c r="J3531" s="9"/>
      <c r="K3531" s="9"/>
      <c r="L3531" s="9"/>
      <c r="M3531" s="9"/>
    </row>
    <row r="3532">
      <c r="J3532" s="9"/>
      <c r="K3532" s="9"/>
      <c r="L3532" s="9"/>
      <c r="M3532" s="9"/>
    </row>
    <row r="3533">
      <c r="J3533" s="9"/>
      <c r="K3533" s="9"/>
      <c r="L3533" s="9"/>
      <c r="M3533" s="9"/>
    </row>
    <row r="3534">
      <c r="J3534" s="9"/>
      <c r="K3534" s="9"/>
      <c r="L3534" s="9"/>
      <c r="M3534" s="9"/>
    </row>
    <row r="3535">
      <c r="J3535" s="9"/>
      <c r="K3535" s="9"/>
      <c r="L3535" s="9"/>
      <c r="M3535" s="9"/>
    </row>
    <row r="3536">
      <c r="J3536" s="9"/>
      <c r="K3536" s="9"/>
      <c r="L3536" s="9"/>
      <c r="M3536" s="9"/>
    </row>
    <row r="3537">
      <c r="J3537" s="9"/>
      <c r="K3537" s="9"/>
      <c r="L3537" s="9"/>
      <c r="M3537" s="9"/>
    </row>
    <row r="3538">
      <c r="J3538" s="9"/>
      <c r="K3538" s="9"/>
      <c r="L3538" s="9"/>
      <c r="M3538" s="9"/>
    </row>
    <row r="3539">
      <c r="J3539" s="9"/>
      <c r="K3539" s="9"/>
      <c r="L3539" s="9"/>
      <c r="M3539" s="9"/>
    </row>
    <row r="3540">
      <c r="J3540" s="9"/>
      <c r="K3540" s="9"/>
      <c r="L3540" s="9"/>
      <c r="M3540" s="9"/>
    </row>
    <row r="3541">
      <c r="J3541" s="9"/>
      <c r="K3541" s="9"/>
      <c r="L3541" s="9"/>
      <c r="M3541" s="9"/>
    </row>
    <row r="3542">
      <c r="J3542" s="9"/>
      <c r="K3542" s="9"/>
      <c r="L3542" s="9"/>
      <c r="M3542" s="9"/>
    </row>
    <row r="3543">
      <c r="J3543" s="9"/>
      <c r="K3543" s="9"/>
      <c r="L3543" s="9"/>
      <c r="M3543" s="9"/>
    </row>
    <row r="3544">
      <c r="J3544" s="9"/>
      <c r="K3544" s="9"/>
      <c r="L3544" s="9"/>
      <c r="M3544" s="9"/>
    </row>
    <row r="3545">
      <c r="J3545" s="9"/>
      <c r="K3545" s="9"/>
      <c r="L3545" s="9"/>
      <c r="M3545" s="9"/>
    </row>
    <row r="3546">
      <c r="J3546" s="9"/>
      <c r="K3546" s="9"/>
      <c r="L3546" s="9"/>
      <c r="M3546" s="9"/>
    </row>
    <row r="3547">
      <c r="J3547" s="9"/>
      <c r="K3547" s="9"/>
      <c r="L3547" s="9"/>
      <c r="M3547" s="9"/>
    </row>
    <row r="3548">
      <c r="J3548" s="9"/>
      <c r="K3548" s="9"/>
      <c r="L3548" s="9"/>
      <c r="M3548" s="9"/>
    </row>
    <row r="3549">
      <c r="J3549" s="9"/>
      <c r="K3549" s="9"/>
      <c r="L3549" s="9"/>
      <c r="M3549" s="9"/>
    </row>
    <row r="3550">
      <c r="J3550" s="9"/>
      <c r="K3550" s="9"/>
      <c r="L3550" s="9"/>
      <c r="M3550" s="9"/>
    </row>
    <row r="3551">
      <c r="J3551" s="9"/>
      <c r="K3551" s="9"/>
      <c r="L3551" s="9"/>
      <c r="M3551" s="9"/>
    </row>
    <row r="3552">
      <c r="J3552" s="9"/>
      <c r="K3552" s="9"/>
      <c r="L3552" s="9"/>
      <c r="M3552" s="9"/>
    </row>
    <row r="3553">
      <c r="J3553" s="9"/>
      <c r="K3553" s="9"/>
      <c r="L3553" s="9"/>
      <c r="M3553" s="9"/>
    </row>
    <row r="3554">
      <c r="J3554" s="9"/>
      <c r="K3554" s="9"/>
      <c r="L3554" s="9"/>
      <c r="M3554" s="9"/>
    </row>
    <row r="3555">
      <c r="J3555" s="9"/>
      <c r="K3555" s="9"/>
      <c r="L3555" s="9"/>
      <c r="M3555" s="9"/>
    </row>
    <row r="3556">
      <c r="J3556" s="9"/>
      <c r="K3556" s="9"/>
      <c r="L3556" s="9"/>
      <c r="M3556" s="9"/>
    </row>
    <row r="3557">
      <c r="J3557" s="9"/>
      <c r="K3557" s="9"/>
      <c r="L3557" s="9"/>
      <c r="M3557" s="9"/>
    </row>
    <row r="3558">
      <c r="J3558" s="9"/>
      <c r="K3558" s="9"/>
      <c r="L3558" s="9"/>
      <c r="M3558" s="9"/>
    </row>
    <row r="3559">
      <c r="J3559" s="9"/>
      <c r="K3559" s="9"/>
      <c r="L3559" s="9"/>
      <c r="M3559" s="9"/>
    </row>
    <row r="3560">
      <c r="J3560" s="9"/>
      <c r="K3560" s="9"/>
      <c r="L3560" s="9"/>
      <c r="M3560" s="9"/>
    </row>
    <row r="3561">
      <c r="J3561" s="9"/>
      <c r="K3561" s="9"/>
      <c r="L3561" s="9"/>
      <c r="M3561" s="9"/>
    </row>
    <row r="3562">
      <c r="J3562" s="9"/>
      <c r="K3562" s="9"/>
      <c r="L3562" s="9"/>
      <c r="M3562" s="9"/>
    </row>
    <row r="3563">
      <c r="J3563" s="9"/>
      <c r="K3563" s="9"/>
      <c r="L3563" s="9"/>
      <c r="M3563" s="9"/>
    </row>
    <row r="3564">
      <c r="J3564" s="9"/>
      <c r="K3564" s="9"/>
      <c r="L3564" s="9"/>
      <c r="M3564" s="9"/>
    </row>
    <row r="3565">
      <c r="J3565" s="9"/>
      <c r="K3565" s="9"/>
      <c r="L3565" s="9"/>
      <c r="M3565" s="9"/>
    </row>
    <row r="3566">
      <c r="J3566" s="9"/>
      <c r="K3566" s="9"/>
      <c r="L3566" s="9"/>
      <c r="M3566" s="9"/>
    </row>
    <row r="3567">
      <c r="J3567" s="9"/>
      <c r="K3567" s="9"/>
      <c r="L3567" s="9"/>
      <c r="M3567" s="9"/>
    </row>
    <row r="3568">
      <c r="J3568" s="9"/>
      <c r="K3568" s="9"/>
      <c r="L3568" s="9"/>
      <c r="M3568" s="9"/>
    </row>
    <row r="3569">
      <c r="J3569" s="9"/>
      <c r="K3569" s="9"/>
      <c r="L3569" s="9"/>
      <c r="M3569" s="9"/>
    </row>
    <row r="3570">
      <c r="J3570" s="9"/>
      <c r="K3570" s="9"/>
      <c r="L3570" s="9"/>
      <c r="M3570" s="9"/>
    </row>
    <row r="3571">
      <c r="J3571" s="9"/>
      <c r="K3571" s="9"/>
      <c r="L3571" s="9"/>
      <c r="M3571" s="9"/>
    </row>
    <row r="3572">
      <c r="J3572" s="9"/>
      <c r="K3572" s="9"/>
      <c r="L3572" s="9"/>
      <c r="M3572" s="9"/>
    </row>
    <row r="3573">
      <c r="J3573" s="9"/>
      <c r="K3573" s="9"/>
      <c r="L3573" s="9"/>
      <c r="M3573" s="9"/>
    </row>
    <row r="3574">
      <c r="J3574" s="9"/>
      <c r="K3574" s="9"/>
      <c r="L3574" s="9"/>
      <c r="M3574" s="9"/>
    </row>
    <row r="3575">
      <c r="J3575" s="9"/>
      <c r="K3575" s="9"/>
      <c r="L3575" s="9"/>
      <c r="M3575" s="9"/>
    </row>
    <row r="3576">
      <c r="J3576" s="9"/>
      <c r="K3576" s="9"/>
      <c r="L3576" s="9"/>
      <c r="M3576" s="9"/>
    </row>
    <row r="3577">
      <c r="J3577" s="9"/>
      <c r="K3577" s="9"/>
      <c r="L3577" s="9"/>
      <c r="M3577" s="9"/>
    </row>
    <row r="3578">
      <c r="J3578" s="9"/>
      <c r="K3578" s="9"/>
      <c r="L3578" s="9"/>
      <c r="M3578" s="9"/>
    </row>
    <row r="3579">
      <c r="J3579" s="9"/>
      <c r="K3579" s="9"/>
      <c r="L3579" s="9"/>
      <c r="M3579" s="9"/>
    </row>
    <row r="3580">
      <c r="J3580" s="9"/>
      <c r="K3580" s="9"/>
      <c r="L3580" s="9"/>
      <c r="M3580" s="9"/>
    </row>
    <row r="3581">
      <c r="J3581" s="9"/>
      <c r="K3581" s="9"/>
      <c r="L3581" s="9"/>
      <c r="M3581" s="9"/>
    </row>
    <row r="3582">
      <c r="J3582" s="9"/>
      <c r="K3582" s="9"/>
      <c r="L3582" s="9"/>
      <c r="M3582" s="9"/>
    </row>
    <row r="3583">
      <c r="J3583" s="9"/>
      <c r="K3583" s="9"/>
      <c r="L3583" s="9"/>
      <c r="M3583" s="9"/>
    </row>
    <row r="3584">
      <c r="J3584" s="9"/>
      <c r="K3584" s="9"/>
      <c r="L3584" s="9"/>
      <c r="M3584" s="9"/>
    </row>
    <row r="3585">
      <c r="J3585" s="9"/>
      <c r="K3585" s="9"/>
      <c r="L3585" s="9"/>
      <c r="M3585" s="9"/>
    </row>
    <row r="3586">
      <c r="J3586" s="9"/>
      <c r="K3586" s="9"/>
      <c r="L3586" s="9"/>
      <c r="M3586" s="9"/>
    </row>
    <row r="3587">
      <c r="J3587" s="9"/>
      <c r="K3587" s="9"/>
      <c r="L3587" s="9"/>
      <c r="M3587" s="9"/>
    </row>
    <row r="3588">
      <c r="J3588" s="9"/>
      <c r="K3588" s="9"/>
      <c r="L3588" s="9"/>
      <c r="M3588" s="9"/>
    </row>
    <row r="3589">
      <c r="J3589" s="9"/>
      <c r="K3589" s="9"/>
      <c r="L3589" s="9"/>
      <c r="M3589" s="9"/>
    </row>
    <row r="3590">
      <c r="J3590" s="9"/>
      <c r="K3590" s="9"/>
      <c r="L3590" s="9"/>
      <c r="M3590" s="9"/>
    </row>
    <row r="3591">
      <c r="J3591" s="9"/>
      <c r="K3591" s="9"/>
      <c r="L3591" s="9"/>
      <c r="M3591" s="9"/>
    </row>
    <row r="3592">
      <c r="J3592" s="9"/>
      <c r="K3592" s="9"/>
      <c r="L3592" s="9"/>
      <c r="M3592" s="9"/>
    </row>
    <row r="3593">
      <c r="J3593" s="9"/>
      <c r="K3593" s="9"/>
      <c r="L3593" s="9"/>
      <c r="M3593" s="9"/>
    </row>
    <row r="3594">
      <c r="J3594" s="9"/>
      <c r="K3594" s="9"/>
      <c r="L3594" s="9"/>
      <c r="M3594" s="9"/>
    </row>
    <row r="3595">
      <c r="J3595" s="9"/>
      <c r="K3595" s="9"/>
      <c r="L3595" s="9"/>
      <c r="M3595" s="9"/>
    </row>
    <row r="3596">
      <c r="J3596" s="9"/>
      <c r="K3596" s="9"/>
      <c r="L3596" s="9"/>
      <c r="M3596" s="9"/>
    </row>
    <row r="3597">
      <c r="J3597" s="9"/>
      <c r="K3597" s="9"/>
      <c r="L3597" s="9"/>
      <c r="M3597" s="9"/>
    </row>
    <row r="3598">
      <c r="J3598" s="9"/>
      <c r="K3598" s="9"/>
      <c r="L3598" s="9"/>
      <c r="M3598" s="9"/>
    </row>
    <row r="3599">
      <c r="J3599" s="9"/>
      <c r="K3599" s="9"/>
      <c r="L3599" s="9"/>
      <c r="M3599" s="9"/>
    </row>
    <row r="3600">
      <c r="J3600" s="9"/>
      <c r="K3600" s="9"/>
      <c r="L3600" s="9"/>
      <c r="M3600" s="9"/>
    </row>
    <row r="3601">
      <c r="J3601" s="9"/>
      <c r="K3601" s="9"/>
      <c r="L3601" s="9"/>
      <c r="M3601" s="9"/>
    </row>
    <row r="3602">
      <c r="J3602" s="9"/>
      <c r="K3602" s="9"/>
      <c r="L3602" s="9"/>
      <c r="M3602" s="9"/>
    </row>
    <row r="3603">
      <c r="J3603" s="9"/>
      <c r="K3603" s="9"/>
      <c r="L3603" s="9"/>
      <c r="M3603" s="9"/>
    </row>
    <row r="3604">
      <c r="J3604" s="9"/>
      <c r="K3604" s="9"/>
      <c r="L3604" s="9"/>
      <c r="M3604" s="9"/>
    </row>
    <row r="3605">
      <c r="J3605" s="9"/>
      <c r="K3605" s="9"/>
      <c r="L3605" s="9"/>
      <c r="M3605" s="9"/>
    </row>
    <row r="3606">
      <c r="J3606" s="9"/>
      <c r="K3606" s="9"/>
      <c r="L3606" s="9"/>
      <c r="M3606" s="9"/>
    </row>
    <row r="3607">
      <c r="J3607" s="9"/>
      <c r="K3607" s="9"/>
      <c r="L3607" s="9"/>
      <c r="M3607" s="9"/>
    </row>
    <row r="3608">
      <c r="J3608" s="9"/>
      <c r="K3608" s="9"/>
      <c r="L3608" s="9"/>
      <c r="M3608" s="9"/>
    </row>
    <row r="3609">
      <c r="J3609" s="9"/>
      <c r="K3609" s="9"/>
      <c r="L3609" s="9"/>
      <c r="M3609" s="9"/>
    </row>
    <row r="3610">
      <c r="J3610" s="9"/>
      <c r="K3610" s="9"/>
      <c r="L3610" s="9"/>
      <c r="M3610" s="9"/>
    </row>
    <row r="3611">
      <c r="J3611" s="9"/>
      <c r="K3611" s="9"/>
      <c r="L3611" s="9"/>
      <c r="M3611" s="9"/>
    </row>
    <row r="3612">
      <c r="J3612" s="9"/>
      <c r="K3612" s="9"/>
      <c r="L3612" s="9"/>
      <c r="M3612" s="9"/>
    </row>
    <row r="3613">
      <c r="J3613" s="9"/>
      <c r="K3613" s="9"/>
      <c r="L3613" s="9"/>
      <c r="M3613" s="9"/>
    </row>
    <row r="3614">
      <c r="J3614" s="9"/>
      <c r="K3614" s="9"/>
      <c r="L3614" s="9"/>
      <c r="M3614" s="9"/>
    </row>
    <row r="3615">
      <c r="J3615" s="9"/>
      <c r="K3615" s="9"/>
      <c r="L3615" s="9"/>
      <c r="M3615" s="9"/>
    </row>
    <row r="3616">
      <c r="J3616" s="9"/>
      <c r="K3616" s="9"/>
      <c r="L3616" s="9"/>
      <c r="M3616" s="9"/>
    </row>
    <row r="3617">
      <c r="J3617" s="9"/>
      <c r="K3617" s="9"/>
      <c r="L3617" s="9"/>
      <c r="M3617" s="9"/>
    </row>
    <row r="3618">
      <c r="J3618" s="9"/>
      <c r="K3618" s="9"/>
      <c r="L3618" s="9"/>
      <c r="M3618" s="9"/>
    </row>
    <row r="3619">
      <c r="J3619" s="9"/>
      <c r="K3619" s="9"/>
      <c r="L3619" s="9"/>
      <c r="M3619" s="9"/>
    </row>
    <row r="3620">
      <c r="J3620" s="9"/>
      <c r="K3620" s="9"/>
      <c r="L3620" s="9"/>
      <c r="M3620" s="9"/>
    </row>
    <row r="3621">
      <c r="J3621" s="9"/>
      <c r="K3621" s="9"/>
      <c r="L3621" s="9"/>
      <c r="M3621" s="9"/>
    </row>
    <row r="3622">
      <c r="J3622" s="9"/>
      <c r="K3622" s="9"/>
      <c r="L3622" s="9"/>
      <c r="M3622" s="9"/>
    </row>
    <row r="3623">
      <c r="J3623" s="9"/>
      <c r="K3623" s="9"/>
      <c r="L3623" s="9"/>
      <c r="M3623" s="9"/>
    </row>
    <row r="3624">
      <c r="J3624" s="9"/>
      <c r="K3624" s="9"/>
      <c r="L3624" s="9"/>
      <c r="M3624" s="9"/>
    </row>
    <row r="3625">
      <c r="J3625" s="9"/>
      <c r="K3625" s="9"/>
      <c r="L3625" s="9"/>
      <c r="M3625" s="9"/>
    </row>
    <row r="3626">
      <c r="J3626" s="9"/>
      <c r="K3626" s="9"/>
      <c r="L3626" s="9"/>
      <c r="M3626" s="9"/>
    </row>
    <row r="3627">
      <c r="J3627" s="9"/>
      <c r="K3627" s="9"/>
      <c r="L3627" s="9"/>
      <c r="M3627" s="9"/>
    </row>
    <row r="3628">
      <c r="J3628" s="9"/>
      <c r="K3628" s="9"/>
      <c r="L3628" s="9"/>
      <c r="M3628" s="9"/>
    </row>
    <row r="3629">
      <c r="J3629" s="9"/>
      <c r="K3629" s="9"/>
      <c r="L3629" s="9"/>
      <c r="M3629" s="9"/>
    </row>
    <row r="3630">
      <c r="J3630" s="9"/>
      <c r="K3630" s="9"/>
      <c r="L3630" s="9"/>
      <c r="M3630" s="9"/>
    </row>
    <row r="3631">
      <c r="J3631" s="9"/>
      <c r="K3631" s="9"/>
      <c r="L3631" s="9"/>
      <c r="M3631" s="9"/>
    </row>
    <row r="3632">
      <c r="J3632" s="9"/>
      <c r="K3632" s="9"/>
      <c r="L3632" s="9"/>
      <c r="M3632" s="9"/>
    </row>
    <row r="3633">
      <c r="J3633" s="9"/>
      <c r="K3633" s="9"/>
      <c r="L3633" s="9"/>
      <c r="M3633" s="9"/>
    </row>
    <row r="3634">
      <c r="J3634" s="9"/>
      <c r="K3634" s="9"/>
      <c r="L3634" s="9"/>
      <c r="M3634" s="9"/>
    </row>
    <row r="3635">
      <c r="J3635" s="9"/>
      <c r="K3635" s="9"/>
      <c r="L3635" s="9"/>
      <c r="M3635" s="9"/>
    </row>
    <row r="3636">
      <c r="J3636" s="9"/>
      <c r="K3636" s="9"/>
      <c r="L3636" s="9"/>
      <c r="M3636" s="9"/>
    </row>
    <row r="3637">
      <c r="J3637" s="9"/>
      <c r="K3637" s="9"/>
      <c r="L3637" s="9"/>
      <c r="M3637" s="9"/>
    </row>
    <row r="3638">
      <c r="J3638" s="9"/>
      <c r="K3638" s="9"/>
      <c r="L3638" s="9"/>
      <c r="M3638" s="9"/>
    </row>
    <row r="3639">
      <c r="J3639" s="9"/>
      <c r="K3639" s="9"/>
      <c r="L3639" s="9"/>
      <c r="M3639" s="9"/>
    </row>
    <row r="3640">
      <c r="J3640" s="9"/>
      <c r="K3640" s="9"/>
      <c r="L3640" s="9"/>
      <c r="M3640" s="9"/>
    </row>
    <row r="3641">
      <c r="J3641" s="9"/>
      <c r="K3641" s="9"/>
      <c r="L3641" s="9"/>
      <c r="M3641" s="9"/>
    </row>
    <row r="3642">
      <c r="J3642" s="9"/>
      <c r="K3642" s="9"/>
      <c r="L3642" s="9"/>
      <c r="M3642" s="9"/>
    </row>
    <row r="3643">
      <c r="J3643" s="9"/>
      <c r="K3643" s="9"/>
      <c r="L3643" s="9"/>
      <c r="M3643" s="9"/>
    </row>
    <row r="3644">
      <c r="J3644" s="9"/>
      <c r="K3644" s="9"/>
      <c r="L3644" s="9"/>
      <c r="M3644" s="9"/>
    </row>
    <row r="3645">
      <c r="J3645" s="9"/>
      <c r="K3645" s="9"/>
      <c r="L3645" s="9"/>
      <c r="M3645" s="9"/>
    </row>
    <row r="3646">
      <c r="J3646" s="9"/>
      <c r="K3646" s="9"/>
      <c r="L3646" s="9"/>
      <c r="M3646" s="9"/>
    </row>
    <row r="3647">
      <c r="J3647" s="9"/>
      <c r="K3647" s="9"/>
      <c r="L3647" s="9"/>
      <c r="M3647" s="9"/>
    </row>
    <row r="3648">
      <c r="J3648" s="9"/>
      <c r="K3648" s="9"/>
      <c r="L3648" s="9"/>
      <c r="M3648" s="9"/>
    </row>
    <row r="3649">
      <c r="J3649" s="9"/>
      <c r="K3649" s="9"/>
      <c r="L3649" s="9"/>
      <c r="M3649" s="9"/>
    </row>
    <row r="3650">
      <c r="J3650" s="9"/>
      <c r="K3650" s="9"/>
      <c r="L3650" s="9"/>
      <c r="M3650" s="9"/>
    </row>
    <row r="3651">
      <c r="J3651" s="9"/>
      <c r="K3651" s="9"/>
      <c r="L3651" s="9"/>
      <c r="M3651" s="9"/>
    </row>
    <row r="3652">
      <c r="J3652" s="9"/>
      <c r="K3652" s="9"/>
      <c r="L3652" s="9"/>
      <c r="M3652" s="9"/>
    </row>
    <row r="3653">
      <c r="J3653" s="9"/>
      <c r="K3653" s="9"/>
      <c r="L3653" s="9"/>
      <c r="M3653" s="9"/>
    </row>
    <row r="3654">
      <c r="J3654" s="9"/>
      <c r="K3654" s="9"/>
      <c r="L3654" s="9"/>
      <c r="M3654" s="9"/>
    </row>
    <row r="3655">
      <c r="J3655" s="9"/>
      <c r="K3655" s="9"/>
      <c r="L3655" s="9"/>
      <c r="M3655" s="9"/>
    </row>
    <row r="3656">
      <c r="J3656" s="9"/>
      <c r="K3656" s="9"/>
      <c r="L3656" s="9"/>
      <c r="M3656" s="9"/>
    </row>
    <row r="3657">
      <c r="J3657" s="9"/>
      <c r="K3657" s="9"/>
      <c r="L3657" s="9"/>
      <c r="M3657" s="9"/>
    </row>
    <row r="3658">
      <c r="J3658" s="9"/>
      <c r="K3658" s="9"/>
      <c r="L3658" s="9"/>
      <c r="M3658" s="9"/>
    </row>
    <row r="3659">
      <c r="J3659" s="9"/>
      <c r="K3659" s="9"/>
      <c r="L3659" s="9"/>
      <c r="M3659" s="9"/>
    </row>
    <row r="3660">
      <c r="J3660" s="9"/>
      <c r="K3660" s="9"/>
      <c r="L3660" s="9"/>
      <c r="M3660" s="9"/>
    </row>
    <row r="3661">
      <c r="J3661" s="9"/>
      <c r="K3661" s="9"/>
      <c r="L3661" s="9"/>
      <c r="M3661" s="9"/>
    </row>
    <row r="3662">
      <c r="J3662" s="9"/>
      <c r="K3662" s="9"/>
      <c r="L3662" s="9"/>
      <c r="M3662" s="9"/>
    </row>
    <row r="3663">
      <c r="J3663" s="9"/>
      <c r="K3663" s="9"/>
      <c r="L3663" s="9"/>
      <c r="M3663" s="9"/>
    </row>
    <row r="3664">
      <c r="J3664" s="9"/>
      <c r="K3664" s="9"/>
      <c r="L3664" s="9"/>
      <c r="M3664" s="9"/>
    </row>
    <row r="3665">
      <c r="J3665" s="9"/>
      <c r="K3665" s="9"/>
      <c r="L3665" s="9"/>
      <c r="M3665" s="9"/>
    </row>
    <row r="3666">
      <c r="J3666" s="9"/>
      <c r="K3666" s="9"/>
      <c r="L3666" s="9"/>
      <c r="M3666" s="9"/>
    </row>
    <row r="3667">
      <c r="J3667" s="9"/>
      <c r="K3667" s="9"/>
      <c r="L3667" s="9"/>
      <c r="M3667" s="9"/>
    </row>
    <row r="3668">
      <c r="J3668" s="9"/>
      <c r="K3668" s="9"/>
      <c r="L3668" s="9"/>
      <c r="M3668" s="9"/>
    </row>
    <row r="3669">
      <c r="J3669" s="9"/>
      <c r="K3669" s="9"/>
      <c r="L3669" s="9"/>
      <c r="M3669" s="9"/>
    </row>
    <row r="3670">
      <c r="J3670" s="9"/>
      <c r="K3670" s="9"/>
      <c r="L3670" s="9"/>
      <c r="M3670" s="9"/>
    </row>
    <row r="3671">
      <c r="J3671" s="9"/>
      <c r="K3671" s="9"/>
      <c r="L3671" s="9"/>
      <c r="M3671" s="9"/>
    </row>
    <row r="3672">
      <c r="J3672" s="9"/>
      <c r="K3672" s="9"/>
      <c r="L3672" s="9"/>
      <c r="M3672" s="9"/>
    </row>
    <row r="3673">
      <c r="J3673" s="9"/>
      <c r="K3673" s="9"/>
      <c r="L3673" s="9"/>
      <c r="M3673" s="9"/>
    </row>
    <row r="3674">
      <c r="J3674" s="9"/>
      <c r="K3674" s="9"/>
      <c r="L3674" s="9"/>
      <c r="M3674" s="9"/>
    </row>
    <row r="3675">
      <c r="J3675" s="9"/>
      <c r="K3675" s="9"/>
      <c r="L3675" s="9"/>
      <c r="M3675" s="9"/>
    </row>
    <row r="3676">
      <c r="J3676" s="9"/>
      <c r="K3676" s="9"/>
      <c r="L3676" s="9"/>
      <c r="M3676" s="9"/>
    </row>
    <row r="3677">
      <c r="J3677" s="9"/>
      <c r="K3677" s="9"/>
      <c r="L3677" s="9"/>
      <c r="M3677" s="9"/>
    </row>
    <row r="3678">
      <c r="J3678" s="9"/>
      <c r="K3678" s="9"/>
      <c r="L3678" s="9"/>
      <c r="M3678" s="9"/>
    </row>
    <row r="3679">
      <c r="J3679" s="9"/>
      <c r="K3679" s="9"/>
      <c r="L3679" s="9"/>
      <c r="M3679" s="9"/>
    </row>
    <row r="3680">
      <c r="J3680" s="9"/>
      <c r="K3680" s="9"/>
      <c r="L3680" s="9"/>
      <c r="M3680" s="9"/>
    </row>
    <row r="3681">
      <c r="J3681" s="9"/>
      <c r="K3681" s="9"/>
      <c r="L3681" s="9"/>
      <c r="M3681" s="9"/>
    </row>
    <row r="3682">
      <c r="J3682" s="9"/>
      <c r="K3682" s="9"/>
      <c r="L3682" s="9"/>
      <c r="M3682" s="9"/>
    </row>
    <row r="3683">
      <c r="J3683" s="9"/>
      <c r="K3683" s="9"/>
      <c r="L3683" s="9"/>
      <c r="M3683" s="9"/>
    </row>
    <row r="3684">
      <c r="J3684" s="9"/>
      <c r="K3684" s="9"/>
      <c r="L3684" s="9"/>
      <c r="M3684" s="9"/>
    </row>
    <row r="3685">
      <c r="J3685" s="9"/>
      <c r="K3685" s="9"/>
      <c r="L3685" s="9"/>
      <c r="M3685" s="9"/>
    </row>
    <row r="3686">
      <c r="J3686" s="9"/>
      <c r="K3686" s="9"/>
      <c r="L3686" s="9"/>
      <c r="M3686" s="9"/>
    </row>
    <row r="3687">
      <c r="J3687" s="9"/>
      <c r="K3687" s="9"/>
      <c r="L3687" s="9"/>
      <c r="M3687" s="9"/>
    </row>
    <row r="3688">
      <c r="J3688" s="9"/>
      <c r="K3688" s="9"/>
      <c r="L3688" s="9"/>
      <c r="M3688" s="9"/>
    </row>
    <row r="3689">
      <c r="J3689" s="9"/>
      <c r="K3689" s="9"/>
      <c r="L3689" s="9"/>
      <c r="M3689" s="9"/>
    </row>
    <row r="3690">
      <c r="J3690" s="9"/>
      <c r="K3690" s="9"/>
      <c r="L3690" s="9"/>
      <c r="M3690" s="9"/>
    </row>
    <row r="3691">
      <c r="J3691" s="9"/>
      <c r="K3691" s="9"/>
      <c r="L3691" s="9"/>
      <c r="M3691" s="9"/>
    </row>
    <row r="3692">
      <c r="J3692" s="9"/>
      <c r="K3692" s="9"/>
      <c r="L3692" s="9"/>
      <c r="M3692" s="9"/>
    </row>
    <row r="3693">
      <c r="J3693" s="9"/>
      <c r="K3693" s="9"/>
      <c r="L3693" s="9"/>
      <c r="M3693" s="9"/>
    </row>
    <row r="3694">
      <c r="J3694" s="9"/>
      <c r="K3694" s="9"/>
      <c r="L3694" s="9"/>
      <c r="M3694" s="9"/>
    </row>
    <row r="3695">
      <c r="J3695" s="9"/>
      <c r="K3695" s="9"/>
      <c r="L3695" s="9"/>
      <c r="M3695" s="9"/>
    </row>
    <row r="3696">
      <c r="J3696" s="9"/>
      <c r="K3696" s="9"/>
      <c r="L3696" s="9"/>
      <c r="M3696" s="9"/>
    </row>
    <row r="3697">
      <c r="J3697" s="9"/>
      <c r="K3697" s="9"/>
      <c r="L3697" s="9"/>
      <c r="M3697" s="9"/>
    </row>
    <row r="3698">
      <c r="J3698" s="9"/>
      <c r="K3698" s="9"/>
      <c r="L3698" s="9"/>
      <c r="M3698" s="9"/>
    </row>
    <row r="3699">
      <c r="J3699" s="9"/>
      <c r="K3699" s="9"/>
      <c r="L3699" s="9"/>
      <c r="M3699" s="9"/>
    </row>
    <row r="3700">
      <c r="J3700" s="9"/>
      <c r="K3700" s="9"/>
      <c r="L3700" s="9"/>
      <c r="M3700" s="9"/>
    </row>
    <row r="3701">
      <c r="J3701" s="9"/>
      <c r="K3701" s="9"/>
      <c r="L3701" s="9"/>
      <c r="M3701" s="9"/>
    </row>
    <row r="3702">
      <c r="J3702" s="9"/>
      <c r="K3702" s="9"/>
      <c r="L3702" s="9"/>
      <c r="M3702" s="9"/>
    </row>
    <row r="3703">
      <c r="J3703" s="9"/>
      <c r="K3703" s="9"/>
      <c r="L3703" s="9"/>
      <c r="M3703" s="9"/>
    </row>
    <row r="3704">
      <c r="J3704" s="9"/>
      <c r="K3704" s="9"/>
      <c r="L3704" s="9"/>
      <c r="M3704" s="9"/>
    </row>
    <row r="3705">
      <c r="J3705" s="9"/>
      <c r="K3705" s="9"/>
      <c r="L3705" s="9"/>
      <c r="M3705" s="9"/>
    </row>
    <row r="3706">
      <c r="J3706" s="9"/>
      <c r="K3706" s="9"/>
      <c r="L3706" s="9"/>
      <c r="M3706" s="9"/>
    </row>
    <row r="3707">
      <c r="J3707" s="9"/>
      <c r="K3707" s="9"/>
      <c r="L3707" s="9"/>
      <c r="M3707" s="9"/>
    </row>
    <row r="3708">
      <c r="J3708" s="9"/>
      <c r="K3708" s="9"/>
      <c r="L3708" s="9"/>
      <c r="M3708" s="9"/>
    </row>
    <row r="3709">
      <c r="J3709" s="9"/>
      <c r="K3709" s="9"/>
      <c r="L3709" s="9"/>
      <c r="M3709" s="9"/>
    </row>
    <row r="3710">
      <c r="J3710" s="9"/>
      <c r="K3710" s="9"/>
      <c r="L3710" s="9"/>
      <c r="M3710" s="9"/>
    </row>
    <row r="3711">
      <c r="J3711" s="9"/>
      <c r="K3711" s="9"/>
      <c r="L3711" s="9"/>
      <c r="M3711" s="9"/>
    </row>
    <row r="3712">
      <c r="J3712" s="9"/>
      <c r="K3712" s="9"/>
      <c r="L3712" s="9"/>
      <c r="M3712" s="9"/>
    </row>
    <row r="3713">
      <c r="J3713" s="9"/>
      <c r="K3713" s="9"/>
      <c r="L3713" s="9"/>
      <c r="M3713" s="9"/>
    </row>
    <row r="3714">
      <c r="J3714" s="9"/>
      <c r="K3714" s="9"/>
      <c r="L3714" s="9"/>
      <c r="M3714" s="9"/>
    </row>
    <row r="3715">
      <c r="J3715" s="9"/>
      <c r="K3715" s="9"/>
      <c r="L3715" s="9"/>
      <c r="M3715" s="9"/>
    </row>
    <row r="3716">
      <c r="J3716" s="9"/>
      <c r="K3716" s="9"/>
      <c r="L3716" s="9"/>
      <c r="M3716" s="9"/>
    </row>
    <row r="3717">
      <c r="J3717" s="9"/>
      <c r="K3717" s="9"/>
      <c r="L3717" s="9"/>
      <c r="M3717" s="9"/>
    </row>
    <row r="3718">
      <c r="J3718" s="9"/>
      <c r="K3718" s="9"/>
      <c r="L3718" s="9"/>
      <c r="M3718" s="9"/>
    </row>
    <row r="3719">
      <c r="J3719" s="9"/>
      <c r="K3719" s="9"/>
      <c r="L3719" s="9"/>
      <c r="M3719" s="9"/>
    </row>
    <row r="3720">
      <c r="J3720" s="9"/>
      <c r="K3720" s="9"/>
      <c r="L3720" s="9"/>
      <c r="M3720" s="9"/>
    </row>
    <row r="3721">
      <c r="J3721" s="9"/>
      <c r="K3721" s="9"/>
      <c r="L3721" s="9"/>
      <c r="M3721" s="9"/>
    </row>
    <row r="3722">
      <c r="J3722" s="9"/>
      <c r="K3722" s="9"/>
      <c r="L3722" s="9"/>
      <c r="M3722" s="9"/>
    </row>
    <row r="3723">
      <c r="J3723" s="9"/>
      <c r="K3723" s="9"/>
      <c r="L3723" s="9"/>
      <c r="M3723" s="9"/>
    </row>
    <row r="3724">
      <c r="J3724" s="9"/>
      <c r="K3724" s="9"/>
      <c r="L3724" s="9"/>
      <c r="M3724" s="9"/>
    </row>
    <row r="3725">
      <c r="J3725" s="9"/>
      <c r="K3725" s="9"/>
      <c r="L3725" s="9"/>
      <c r="M3725" s="9"/>
    </row>
    <row r="3726">
      <c r="J3726" s="9"/>
      <c r="K3726" s="9"/>
      <c r="L3726" s="9"/>
      <c r="M3726" s="9"/>
    </row>
    <row r="3727">
      <c r="J3727" s="9"/>
      <c r="K3727" s="9"/>
      <c r="L3727" s="9"/>
      <c r="M3727" s="9"/>
    </row>
    <row r="3728">
      <c r="J3728" s="9"/>
      <c r="K3728" s="9"/>
      <c r="L3728" s="9"/>
      <c r="M3728" s="9"/>
    </row>
    <row r="3729">
      <c r="J3729" s="9"/>
      <c r="K3729" s="9"/>
      <c r="L3729" s="9"/>
      <c r="M3729" s="9"/>
    </row>
    <row r="3730">
      <c r="J3730" s="9"/>
      <c r="K3730" s="9"/>
      <c r="L3730" s="9"/>
      <c r="M3730" s="9"/>
    </row>
    <row r="3731">
      <c r="J3731" s="9"/>
      <c r="K3731" s="9"/>
      <c r="L3731" s="9"/>
      <c r="M3731" s="9"/>
    </row>
    <row r="3732">
      <c r="J3732" s="9"/>
      <c r="K3732" s="9"/>
      <c r="L3732" s="9"/>
      <c r="M3732" s="9"/>
    </row>
    <row r="3733">
      <c r="J3733" s="9"/>
      <c r="K3733" s="9"/>
      <c r="L3733" s="9"/>
      <c r="M3733" s="9"/>
    </row>
    <row r="3734">
      <c r="J3734" s="9"/>
      <c r="K3734" s="9"/>
      <c r="L3734" s="9"/>
      <c r="M3734" s="9"/>
    </row>
    <row r="3735">
      <c r="J3735" s="9"/>
      <c r="K3735" s="9"/>
      <c r="L3735" s="9"/>
      <c r="M3735" s="9"/>
    </row>
    <row r="3736">
      <c r="J3736" s="9"/>
      <c r="K3736" s="9"/>
      <c r="L3736" s="9"/>
      <c r="M3736" s="9"/>
    </row>
    <row r="3737">
      <c r="J3737" s="9"/>
      <c r="K3737" s="9"/>
      <c r="L3737" s="9"/>
      <c r="M3737" s="9"/>
    </row>
    <row r="3738">
      <c r="J3738" s="9"/>
      <c r="K3738" s="9"/>
      <c r="L3738" s="9"/>
      <c r="M3738" s="9"/>
    </row>
    <row r="3739">
      <c r="J3739" s="9"/>
      <c r="K3739" s="9"/>
      <c r="L3739" s="9"/>
      <c r="M3739" s="9"/>
    </row>
    <row r="3740">
      <c r="J3740" s="9"/>
      <c r="K3740" s="9"/>
      <c r="L3740" s="9"/>
      <c r="M3740" s="9"/>
    </row>
    <row r="3741">
      <c r="J3741" s="9"/>
      <c r="K3741" s="9"/>
      <c r="L3741" s="9"/>
      <c r="M3741" s="9"/>
    </row>
    <row r="3742">
      <c r="J3742" s="9"/>
      <c r="K3742" s="9"/>
      <c r="L3742" s="9"/>
      <c r="M3742" s="9"/>
    </row>
    <row r="3743">
      <c r="J3743" s="9"/>
      <c r="K3743" s="9"/>
      <c r="L3743" s="9"/>
      <c r="M3743" s="9"/>
    </row>
    <row r="3744">
      <c r="J3744" s="9"/>
      <c r="K3744" s="9"/>
      <c r="L3744" s="9"/>
      <c r="M3744" s="9"/>
    </row>
    <row r="3745">
      <c r="J3745" s="9"/>
      <c r="K3745" s="9"/>
      <c r="L3745" s="9"/>
      <c r="M3745" s="9"/>
    </row>
    <row r="3746">
      <c r="J3746" s="9"/>
      <c r="K3746" s="9"/>
      <c r="L3746" s="9"/>
      <c r="M3746" s="9"/>
    </row>
    <row r="3747">
      <c r="J3747" s="9"/>
      <c r="K3747" s="9"/>
      <c r="L3747" s="9"/>
      <c r="M3747" s="9"/>
    </row>
    <row r="3748">
      <c r="J3748" s="9"/>
      <c r="K3748" s="9"/>
      <c r="L3748" s="9"/>
      <c r="M3748" s="9"/>
    </row>
    <row r="3749">
      <c r="J3749" s="9"/>
      <c r="K3749" s="9"/>
      <c r="L3749" s="9"/>
      <c r="M3749" s="9"/>
    </row>
    <row r="3750">
      <c r="J3750" s="9"/>
      <c r="K3750" s="9"/>
      <c r="L3750" s="9"/>
      <c r="M3750" s="9"/>
    </row>
    <row r="3751">
      <c r="J3751" s="9"/>
      <c r="K3751" s="9"/>
      <c r="L3751" s="9"/>
      <c r="M3751" s="9"/>
    </row>
    <row r="3752">
      <c r="J3752" s="9"/>
      <c r="K3752" s="9"/>
      <c r="L3752" s="9"/>
      <c r="M3752" s="9"/>
    </row>
    <row r="3753">
      <c r="J3753" s="9"/>
      <c r="K3753" s="9"/>
      <c r="L3753" s="9"/>
      <c r="M3753" s="9"/>
    </row>
    <row r="3754">
      <c r="J3754" s="9"/>
      <c r="K3754" s="9"/>
      <c r="L3754" s="9"/>
      <c r="M3754" s="9"/>
    </row>
    <row r="3755">
      <c r="J3755" s="9"/>
      <c r="K3755" s="9"/>
      <c r="L3755" s="9"/>
      <c r="M3755" s="9"/>
    </row>
    <row r="3756">
      <c r="J3756" s="9"/>
      <c r="K3756" s="9"/>
      <c r="L3756" s="9"/>
      <c r="M3756" s="9"/>
    </row>
    <row r="3757">
      <c r="J3757" s="9"/>
      <c r="K3757" s="9"/>
      <c r="L3757" s="9"/>
      <c r="M3757" s="9"/>
    </row>
    <row r="3758">
      <c r="J3758" s="9"/>
      <c r="K3758" s="9"/>
      <c r="L3758" s="9"/>
      <c r="M3758" s="9"/>
    </row>
    <row r="3759">
      <c r="J3759" s="9"/>
      <c r="K3759" s="9"/>
      <c r="L3759" s="9"/>
      <c r="M3759" s="9"/>
    </row>
    <row r="3760">
      <c r="J3760" s="9"/>
      <c r="K3760" s="9"/>
      <c r="L3760" s="9"/>
      <c r="M3760" s="9"/>
    </row>
    <row r="3761">
      <c r="J3761" s="9"/>
      <c r="K3761" s="9"/>
      <c r="L3761" s="9"/>
      <c r="M3761" s="9"/>
    </row>
    <row r="3762">
      <c r="J3762" s="9"/>
      <c r="K3762" s="9"/>
      <c r="L3762" s="9"/>
      <c r="M3762" s="9"/>
    </row>
    <row r="3763">
      <c r="J3763" s="9"/>
      <c r="K3763" s="9"/>
      <c r="L3763" s="9"/>
      <c r="M3763" s="9"/>
    </row>
    <row r="3764">
      <c r="J3764" s="9"/>
      <c r="K3764" s="9"/>
      <c r="L3764" s="9"/>
      <c r="M3764" s="9"/>
    </row>
    <row r="3765">
      <c r="J3765" s="9"/>
      <c r="K3765" s="9"/>
      <c r="L3765" s="9"/>
      <c r="M3765" s="9"/>
    </row>
    <row r="3766">
      <c r="J3766" s="9"/>
      <c r="K3766" s="9"/>
      <c r="L3766" s="9"/>
      <c r="M3766" s="9"/>
    </row>
    <row r="3767">
      <c r="J3767" s="9"/>
      <c r="K3767" s="9"/>
      <c r="L3767" s="9"/>
      <c r="M3767" s="9"/>
    </row>
    <row r="3768">
      <c r="J3768" s="9"/>
      <c r="K3768" s="9"/>
      <c r="L3768" s="9"/>
      <c r="M3768" s="9"/>
    </row>
    <row r="3769">
      <c r="J3769" s="9"/>
      <c r="K3769" s="9"/>
      <c r="L3769" s="9"/>
      <c r="M3769" s="9"/>
    </row>
    <row r="3770">
      <c r="J3770" s="9"/>
      <c r="K3770" s="9"/>
      <c r="L3770" s="9"/>
      <c r="M3770" s="9"/>
    </row>
    <row r="3771">
      <c r="J3771" s="9"/>
      <c r="K3771" s="9"/>
      <c r="L3771" s="9"/>
      <c r="M3771" s="9"/>
    </row>
    <row r="3772">
      <c r="J3772" s="9"/>
      <c r="K3772" s="9"/>
      <c r="L3772" s="9"/>
      <c r="M3772" s="9"/>
    </row>
    <row r="3773">
      <c r="J3773" s="9"/>
      <c r="K3773" s="9"/>
      <c r="L3773" s="9"/>
      <c r="M3773" s="9"/>
    </row>
    <row r="3774">
      <c r="J3774" s="9"/>
      <c r="K3774" s="9"/>
      <c r="L3774" s="9"/>
      <c r="M3774" s="9"/>
    </row>
    <row r="3775">
      <c r="J3775" s="9"/>
      <c r="K3775" s="9"/>
      <c r="L3775" s="9"/>
      <c r="M3775" s="9"/>
    </row>
    <row r="3776">
      <c r="J3776" s="9"/>
      <c r="K3776" s="9"/>
      <c r="L3776" s="9"/>
      <c r="M3776" s="9"/>
    </row>
    <row r="3777">
      <c r="J3777" s="9"/>
      <c r="K3777" s="9"/>
      <c r="L3777" s="9"/>
      <c r="M3777" s="9"/>
    </row>
    <row r="3778">
      <c r="J3778" s="9"/>
      <c r="K3778" s="9"/>
      <c r="L3778" s="9"/>
      <c r="M3778" s="9"/>
    </row>
    <row r="3779">
      <c r="J3779" s="9"/>
      <c r="K3779" s="9"/>
      <c r="L3779" s="9"/>
      <c r="M3779" s="9"/>
    </row>
    <row r="3780">
      <c r="J3780" s="9"/>
      <c r="K3780" s="9"/>
      <c r="L3780" s="9"/>
      <c r="M3780" s="9"/>
    </row>
    <row r="3781">
      <c r="J3781" s="9"/>
      <c r="K3781" s="9"/>
      <c r="L3781" s="9"/>
      <c r="M3781" s="9"/>
    </row>
    <row r="3782">
      <c r="J3782" s="9"/>
      <c r="K3782" s="9"/>
      <c r="L3782" s="9"/>
      <c r="M3782" s="9"/>
    </row>
    <row r="3783">
      <c r="J3783" s="9"/>
      <c r="K3783" s="9"/>
      <c r="L3783" s="9"/>
      <c r="M3783" s="9"/>
    </row>
    <row r="3784">
      <c r="J3784" s="9"/>
      <c r="K3784" s="9"/>
      <c r="L3784" s="9"/>
      <c r="M3784" s="9"/>
    </row>
    <row r="3785">
      <c r="J3785" s="9"/>
      <c r="K3785" s="9"/>
      <c r="L3785" s="9"/>
      <c r="M3785" s="9"/>
    </row>
    <row r="3786">
      <c r="J3786" s="9"/>
      <c r="K3786" s="9"/>
      <c r="L3786" s="9"/>
      <c r="M3786" s="9"/>
    </row>
    <row r="3787">
      <c r="J3787" s="9"/>
      <c r="K3787" s="9"/>
      <c r="L3787" s="9"/>
      <c r="M3787" s="9"/>
    </row>
    <row r="3788">
      <c r="J3788" s="9"/>
      <c r="K3788" s="9"/>
      <c r="L3788" s="9"/>
      <c r="M3788" s="9"/>
    </row>
    <row r="3789">
      <c r="J3789" s="9"/>
      <c r="K3789" s="9"/>
      <c r="L3789" s="9"/>
      <c r="M3789" s="9"/>
    </row>
    <row r="3790">
      <c r="J3790" s="9"/>
      <c r="K3790" s="9"/>
      <c r="L3790" s="9"/>
      <c r="M3790" s="9"/>
    </row>
    <row r="3791">
      <c r="J3791" s="9"/>
      <c r="K3791" s="9"/>
      <c r="L3791" s="9"/>
      <c r="M3791" s="9"/>
    </row>
    <row r="3792">
      <c r="J3792" s="9"/>
      <c r="K3792" s="9"/>
      <c r="L3792" s="9"/>
      <c r="M3792" s="9"/>
    </row>
    <row r="3793">
      <c r="J3793" s="9"/>
      <c r="K3793" s="9"/>
      <c r="L3793" s="9"/>
      <c r="M3793" s="9"/>
    </row>
    <row r="3794">
      <c r="J3794" s="9"/>
      <c r="K3794" s="9"/>
      <c r="L3794" s="9"/>
      <c r="M3794" s="9"/>
    </row>
    <row r="3795">
      <c r="J3795" s="9"/>
      <c r="K3795" s="9"/>
      <c r="L3795" s="9"/>
      <c r="M3795" s="9"/>
    </row>
    <row r="3796">
      <c r="J3796" s="9"/>
      <c r="K3796" s="9"/>
      <c r="L3796" s="9"/>
      <c r="M3796" s="9"/>
    </row>
    <row r="3797">
      <c r="J3797" s="9"/>
      <c r="K3797" s="9"/>
      <c r="L3797" s="9"/>
      <c r="M3797" s="9"/>
    </row>
    <row r="3798">
      <c r="J3798" s="9"/>
      <c r="K3798" s="9"/>
      <c r="L3798" s="9"/>
      <c r="M3798" s="9"/>
    </row>
    <row r="3799">
      <c r="J3799" s="9"/>
      <c r="K3799" s="9"/>
      <c r="L3799" s="9"/>
      <c r="M3799" s="9"/>
    </row>
    <row r="3800">
      <c r="J3800" s="9"/>
      <c r="K3800" s="9"/>
      <c r="L3800" s="9"/>
      <c r="M3800" s="9"/>
    </row>
    <row r="3801">
      <c r="J3801" s="9"/>
      <c r="K3801" s="9"/>
      <c r="L3801" s="9"/>
      <c r="M3801" s="9"/>
    </row>
    <row r="3802">
      <c r="J3802" s="9"/>
      <c r="K3802" s="9"/>
      <c r="L3802" s="9"/>
      <c r="M3802" s="9"/>
    </row>
    <row r="3803">
      <c r="J3803" s="9"/>
      <c r="K3803" s="9"/>
      <c r="L3803" s="9"/>
      <c r="M3803" s="9"/>
    </row>
    <row r="3804">
      <c r="J3804" s="9"/>
      <c r="K3804" s="9"/>
      <c r="L3804" s="9"/>
      <c r="M3804" s="9"/>
    </row>
    <row r="3805">
      <c r="J3805" s="9"/>
      <c r="K3805" s="9"/>
      <c r="L3805" s="9"/>
      <c r="M3805" s="9"/>
    </row>
    <row r="3806">
      <c r="J3806" s="9"/>
      <c r="K3806" s="9"/>
      <c r="L3806" s="9"/>
      <c r="M3806" s="9"/>
    </row>
    <row r="3807">
      <c r="J3807" s="9"/>
      <c r="K3807" s="9"/>
      <c r="L3807" s="9"/>
      <c r="M3807" s="9"/>
    </row>
    <row r="3808">
      <c r="J3808" s="9"/>
      <c r="K3808" s="9"/>
      <c r="L3808" s="9"/>
      <c r="M3808" s="9"/>
    </row>
    <row r="3809">
      <c r="J3809" s="9"/>
      <c r="K3809" s="9"/>
      <c r="L3809" s="9"/>
      <c r="M3809" s="9"/>
    </row>
    <row r="3810">
      <c r="J3810" s="9"/>
      <c r="K3810" s="9"/>
      <c r="L3810" s="9"/>
      <c r="M3810" s="9"/>
    </row>
    <row r="3811">
      <c r="J3811" s="9"/>
      <c r="K3811" s="9"/>
      <c r="L3811" s="9"/>
      <c r="M3811" s="9"/>
    </row>
    <row r="3812">
      <c r="J3812" s="9"/>
      <c r="K3812" s="9"/>
      <c r="L3812" s="9"/>
      <c r="M3812" s="9"/>
    </row>
    <row r="3813">
      <c r="J3813" s="9"/>
      <c r="K3813" s="9"/>
      <c r="L3813" s="9"/>
      <c r="M3813" s="9"/>
    </row>
    <row r="3814">
      <c r="J3814" s="9"/>
      <c r="K3814" s="9"/>
      <c r="L3814" s="9"/>
      <c r="M3814" s="9"/>
    </row>
    <row r="3815">
      <c r="J3815" s="9"/>
      <c r="K3815" s="9"/>
      <c r="L3815" s="9"/>
      <c r="M3815" s="9"/>
    </row>
    <row r="3816">
      <c r="J3816" s="9"/>
      <c r="K3816" s="9"/>
      <c r="L3816" s="9"/>
      <c r="M3816" s="9"/>
    </row>
    <row r="3817">
      <c r="J3817" s="9"/>
      <c r="K3817" s="9"/>
      <c r="L3817" s="9"/>
      <c r="M3817" s="9"/>
    </row>
    <row r="3818">
      <c r="J3818" s="9"/>
      <c r="K3818" s="9"/>
      <c r="L3818" s="9"/>
      <c r="M3818" s="9"/>
    </row>
    <row r="3819">
      <c r="J3819" s="9"/>
      <c r="K3819" s="9"/>
      <c r="L3819" s="9"/>
      <c r="M3819" s="9"/>
    </row>
    <row r="3820">
      <c r="J3820" s="9"/>
      <c r="K3820" s="9"/>
      <c r="L3820" s="9"/>
      <c r="M3820" s="9"/>
    </row>
    <row r="3821">
      <c r="J3821" s="9"/>
      <c r="K3821" s="9"/>
      <c r="L3821" s="9"/>
      <c r="M3821" s="9"/>
    </row>
    <row r="3822">
      <c r="J3822" s="9"/>
      <c r="K3822" s="9"/>
      <c r="L3822" s="9"/>
      <c r="M3822" s="9"/>
    </row>
    <row r="3823">
      <c r="J3823" s="9"/>
      <c r="K3823" s="9"/>
      <c r="L3823" s="9"/>
      <c r="M3823" s="9"/>
    </row>
    <row r="3824">
      <c r="J3824" s="9"/>
      <c r="K3824" s="9"/>
      <c r="L3824" s="9"/>
      <c r="M3824" s="9"/>
    </row>
    <row r="3825">
      <c r="J3825" s="9"/>
      <c r="K3825" s="9"/>
      <c r="L3825" s="9"/>
      <c r="M3825" s="9"/>
    </row>
    <row r="3826">
      <c r="J3826" s="9"/>
      <c r="K3826" s="9"/>
      <c r="L3826" s="9"/>
      <c r="M3826" s="9"/>
    </row>
    <row r="3827">
      <c r="J3827" s="9"/>
      <c r="K3827" s="9"/>
      <c r="L3827" s="9"/>
      <c r="M3827" s="9"/>
    </row>
    <row r="3828">
      <c r="J3828" s="9"/>
      <c r="K3828" s="9"/>
      <c r="L3828" s="9"/>
      <c r="M3828" s="9"/>
    </row>
    <row r="3829">
      <c r="J3829" s="9"/>
      <c r="K3829" s="9"/>
      <c r="L3829" s="9"/>
      <c r="M3829" s="9"/>
    </row>
    <row r="3830">
      <c r="J3830" s="9"/>
      <c r="K3830" s="9"/>
      <c r="L3830" s="9"/>
      <c r="M3830" s="9"/>
    </row>
    <row r="3831">
      <c r="J3831" s="9"/>
      <c r="K3831" s="9"/>
      <c r="L3831" s="9"/>
      <c r="M3831" s="9"/>
    </row>
    <row r="3832">
      <c r="J3832" s="9"/>
      <c r="K3832" s="9"/>
      <c r="L3832" s="9"/>
      <c r="M3832" s="9"/>
    </row>
    <row r="3833">
      <c r="J3833" s="9"/>
      <c r="K3833" s="9"/>
      <c r="L3833" s="9"/>
      <c r="M3833" s="9"/>
    </row>
    <row r="3834">
      <c r="J3834" s="9"/>
      <c r="K3834" s="9"/>
      <c r="L3834" s="9"/>
      <c r="M3834" s="9"/>
    </row>
    <row r="3835">
      <c r="J3835" s="9"/>
      <c r="K3835" s="9"/>
      <c r="L3835" s="9"/>
      <c r="M3835" s="9"/>
    </row>
    <row r="3836">
      <c r="J3836" s="9"/>
      <c r="K3836" s="9"/>
      <c r="L3836" s="9"/>
      <c r="M3836" s="9"/>
    </row>
    <row r="3837">
      <c r="J3837" s="9"/>
      <c r="K3837" s="9"/>
      <c r="L3837" s="9"/>
      <c r="M3837" s="9"/>
    </row>
    <row r="3838">
      <c r="J3838" s="9"/>
      <c r="K3838" s="9"/>
      <c r="L3838" s="9"/>
      <c r="M3838" s="9"/>
    </row>
    <row r="3839">
      <c r="J3839" s="9"/>
      <c r="K3839" s="9"/>
      <c r="L3839" s="9"/>
      <c r="M3839" s="9"/>
    </row>
    <row r="3840">
      <c r="J3840" s="9"/>
      <c r="K3840" s="9"/>
      <c r="L3840" s="9"/>
      <c r="M3840" s="9"/>
    </row>
    <row r="3841">
      <c r="J3841" s="9"/>
      <c r="K3841" s="9"/>
      <c r="L3841" s="9"/>
      <c r="M3841" s="9"/>
    </row>
    <row r="3842">
      <c r="J3842" s="9"/>
      <c r="K3842" s="9"/>
      <c r="L3842" s="9"/>
      <c r="M3842" s="9"/>
    </row>
    <row r="3843">
      <c r="J3843" s="9"/>
      <c r="K3843" s="9"/>
      <c r="L3843" s="9"/>
      <c r="M3843" s="9"/>
    </row>
    <row r="3844">
      <c r="J3844" s="9"/>
      <c r="K3844" s="9"/>
      <c r="L3844" s="9"/>
      <c r="M3844" s="9"/>
    </row>
    <row r="3845">
      <c r="J3845" s="9"/>
      <c r="K3845" s="9"/>
      <c r="L3845" s="9"/>
      <c r="M3845" s="9"/>
    </row>
    <row r="3846">
      <c r="J3846" s="9"/>
      <c r="K3846" s="9"/>
      <c r="L3846" s="9"/>
      <c r="M3846" s="9"/>
    </row>
    <row r="3847">
      <c r="J3847" s="9"/>
      <c r="K3847" s="9"/>
      <c r="L3847" s="9"/>
      <c r="M3847" s="9"/>
    </row>
    <row r="3848">
      <c r="J3848" s="9"/>
      <c r="K3848" s="9"/>
      <c r="L3848" s="9"/>
      <c r="M3848" s="9"/>
    </row>
    <row r="3849">
      <c r="J3849" s="9"/>
      <c r="K3849" s="9"/>
      <c r="L3849" s="9"/>
      <c r="M3849" s="9"/>
    </row>
    <row r="3850">
      <c r="J3850" s="9"/>
      <c r="K3850" s="9"/>
      <c r="L3850" s="9"/>
      <c r="M3850" s="9"/>
    </row>
    <row r="3851">
      <c r="J3851" s="9"/>
      <c r="K3851" s="9"/>
      <c r="L3851" s="9"/>
      <c r="M3851" s="9"/>
    </row>
    <row r="3852">
      <c r="J3852" s="9"/>
      <c r="K3852" s="9"/>
      <c r="L3852" s="9"/>
      <c r="M3852" s="9"/>
    </row>
    <row r="3853">
      <c r="J3853" s="9"/>
      <c r="K3853" s="9"/>
      <c r="L3853" s="9"/>
      <c r="M3853" s="9"/>
    </row>
    <row r="3854">
      <c r="J3854" s="9"/>
      <c r="K3854" s="9"/>
      <c r="L3854" s="9"/>
      <c r="M3854" s="9"/>
    </row>
    <row r="3855">
      <c r="J3855" s="9"/>
      <c r="K3855" s="9"/>
      <c r="L3855" s="9"/>
      <c r="M3855" s="9"/>
    </row>
    <row r="3856">
      <c r="J3856" s="9"/>
      <c r="K3856" s="9"/>
      <c r="L3856" s="9"/>
      <c r="M3856" s="9"/>
    </row>
    <row r="3857">
      <c r="J3857" s="9"/>
      <c r="K3857" s="9"/>
      <c r="L3857" s="9"/>
      <c r="M3857" s="9"/>
    </row>
    <row r="3858">
      <c r="J3858" s="9"/>
      <c r="K3858" s="9"/>
      <c r="L3858" s="9"/>
      <c r="M3858" s="9"/>
    </row>
    <row r="3859">
      <c r="J3859" s="9"/>
      <c r="K3859" s="9"/>
      <c r="L3859" s="9"/>
      <c r="M3859" s="9"/>
    </row>
    <row r="3860">
      <c r="J3860" s="9"/>
      <c r="K3860" s="9"/>
      <c r="L3860" s="9"/>
      <c r="M3860" s="9"/>
    </row>
    <row r="3861">
      <c r="J3861" s="9"/>
      <c r="K3861" s="9"/>
      <c r="L3861" s="9"/>
      <c r="M3861" s="9"/>
    </row>
    <row r="3862">
      <c r="J3862" s="9"/>
      <c r="K3862" s="9"/>
      <c r="L3862" s="9"/>
      <c r="M3862" s="9"/>
    </row>
    <row r="3863">
      <c r="J3863" s="9"/>
      <c r="K3863" s="9"/>
      <c r="L3863" s="9"/>
      <c r="M3863" s="9"/>
    </row>
    <row r="3864">
      <c r="J3864" s="9"/>
      <c r="K3864" s="9"/>
      <c r="L3864" s="9"/>
      <c r="M3864" s="9"/>
    </row>
    <row r="3865">
      <c r="J3865" s="9"/>
      <c r="K3865" s="9"/>
      <c r="L3865" s="9"/>
      <c r="M3865" s="9"/>
    </row>
    <row r="3866">
      <c r="J3866" s="9"/>
      <c r="K3866" s="9"/>
      <c r="L3866" s="9"/>
      <c r="M3866" s="9"/>
    </row>
    <row r="3867">
      <c r="J3867" s="9"/>
      <c r="K3867" s="9"/>
      <c r="L3867" s="9"/>
      <c r="M3867" s="9"/>
    </row>
    <row r="3868">
      <c r="J3868" s="9"/>
      <c r="K3868" s="9"/>
      <c r="L3868" s="9"/>
      <c r="M3868" s="9"/>
    </row>
    <row r="3869">
      <c r="J3869" s="9"/>
      <c r="K3869" s="9"/>
      <c r="L3869" s="9"/>
      <c r="M3869" s="9"/>
    </row>
    <row r="3870">
      <c r="J3870" s="9"/>
      <c r="K3870" s="9"/>
      <c r="L3870" s="9"/>
      <c r="M3870" s="9"/>
    </row>
    <row r="3871">
      <c r="J3871" s="9"/>
      <c r="K3871" s="9"/>
      <c r="L3871" s="9"/>
      <c r="M3871" s="9"/>
    </row>
    <row r="3872">
      <c r="J3872" s="9"/>
      <c r="K3872" s="9"/>
      <c r="L3872" s="9"/>
      <c r="M3872" s="9"/>
    </row>
    <row r="3873">
      <c r="J3873" s="9"/>
      <c r="K3873" s="9"/>
      <c r="L3873" s="9"/>
      <c r="M3873" s="9"/>
    </row>
    <row r="3874">
      <c r="J3874" s="9"/>
      <c r="K3874" s="9"/>
      <c r="L3874" s="9"/>
      <c r="M3874" s="9"/>
    </row>
    <row r="3875">
      <c r="J3875" s="9"/>
      <c r="K3875" s="9"/>
      <c r="L3875" s="9"/>
      <c r="M3875" s="9"/>
    </row>
    <row r="3876">
      <c r="J3876" s="9"/>
      <c r="K3876" s="9"/>
      <c r="L3876" s="9"/>
      <c r="M3876" s="9"/>
    </row>
    <row r="3877">
      <c r="J3877" s="9"/>
      <c r="K3877" s="9"/>
      <c r="L3877" s="9"/>
      <c r="M3877" s="9"/>
    </row>
    <row r="3878">
      <c r="J3878" s="9"/>
      <c r="K3878" s="9"/>
      <c r="L3878" s="9"/>
      <c r="M3878" s="9"/>
    </row>
    <row r="3879">
      <c r="J3879" s="9"/>
      <c r="K3879" s="9"/>
      <c r="L3879" s="9"/>
      <c r="M3879" s="9"/>
    </row>
    <row r="3880">
      <c r="J3880" s="9"/>
      <c r="K3880" s="9"/>
      <c r="L3880" s="9"/>
      <c r="M3880" s="9"/>
    </row>
    <row r="3881">
      <c r="J3881" s="9"/>
      <c r="K3881" s="9"/>
      <c r="L3881" s="9"/>
      <c r="M3881" s="9"/>
    </row>
    <row r="3882">
      <c r="J3882" s="9"/>
      <c r="K3882" s="9"/>
      <c r="L3882" s="9"/>
      <c r="M3882" s="9"/>
    </row>
    <row r="3883">
      <c r="J3883" s="9"/>
      <c r="K3883" s="9"/>
      <c r="L3883" s="9"/>
      <c r="M3883" s="9"/>
    </row>
    <row r="3884">
      <c r="J3884" s="9"/>
      <c r="K3884" s="9"/>
      <c r="L3884" s="9"/>
      <c r="M3884" s="9"/>
    </row>
    <row r="3885">
      <c r="J3885" s="9"/>
      <c r="K3885" s="9"/>
      <c r="L3885" s="9"/>
      <c r="M3885" s="9"/>
    </row>
    <row r="3886">
      <c r="J3886" s="9"/>
      <c r="K3886" s="9"/>
      <c r="L3886" s="9"/>
      <c r="M3886" s="9"/>
    </row>
    <row r="3887">
      <c r="J3887" s="9"/>
      <c r="K3887" s="9"/>
      <c r="L3887" s="9"/>
      <c r="M3887" s="9"/>
    </row>
    <row r="3888">
      <c r="J3888" s="9"/>
      <c r="K3888" s="9"/>
      <c r="L3888" s="9"/>
      <c r="M3888" s="9"/>
    </row>
    <row r="3889">
      <c r="J3889" s="9"/>
      <c r="K3889" s="9"/>
      <c r="L3889" s="9"/>
      <c r="M3889" s="9"/>
    </row>
    <row r="3890">
      <c r="J3890" s="9"/>
      <c r="K3890" s="9"/>
      <c r="L3890" s="9"/>
      <c r="M3890" s="9"/>
    </row>
    <row r="3891">
      <c r="J3891" s="9"/>
      <c r="K3891" s="9"/>
      <c r="L3891" s="9"/>
      <c r="M3891" s="9"/>
    </row>
    <row r="3892">
      <c r="J3892" s="9"/>
      <c r="K3892" s="9"/>
      <c r="L3892" s="9"/>
      <c r="M3892" s="9"/>
    </row>
    <row r="3893">
      <c r="J3893" s="9"/>
      <c r="K3893" s="9"/>
      <c r="L3893" s="9"/>
      <c r="M3893" s="9"/>
    </row>
    <row r="3894">
      <c r="J3894" s="9"/>
      <c r="K3894" s="9"/>
      <c r="L3894" s="9"/>
      <c r="M3894" s="9"/>
    </row>
    <row r="3895">
      <c r="J3895" s="9"/>
      <c r="K3895" s="9"/>
      <c r="L3895" s="9"/>
      <c r="M3895" s="9"/>
    </row>
    <row r="3896">
      <c r="J3896" s="9"/>
      <c r="K3896" s="9"/>
      <c r="L3896" s="9"/>
      <c r="M3896" s="9"/>
    </row>
    <row r="3897">
      <c r="J3897" s="9"/>
      <c r="K3897" s="9"/>
      <c r="L3897" s="9"/>
      <c r="M3897" s="9"/>
    </row>
    <row r="3898">
      <c r="J3898" s="9"/>
      <c r="K3898" s="9"/>
      <c r="L3898" s="9"/>
      <c r="M3898" s="9"/>
    </row>
    <row r="3899">
      <c r="J3899" s="9"/>
      <c r="K3899" s="9"/>
      <c r="L3899" s="9"/>
      <c r="M3899" s="9"/>
    </row>
    <row r="3900">
      <c r="J3900" s="9"/>
      <c r="K3900" s="9"/>
      <c r="L3900" s="9"/>
      <c r="M3900" s="9"/>
    </row>
    <row r="3901">
      <c r="J3901" s="9"/>
      <c r="K3901" s="9"/>
      <c r="L3901" s="9"/>
      <c r="M3901" s="9"/>
    </row>
    <row r="3902">
      <c r="J3902" s="9"/>
      <c r="K3902" s="9"/>
      <c r="L3902" s="9"/>
      <c r="M3902" s="9"/>
    </row>
    <row r="3903">
      <c r="J3903" s="9"/>
      <c r="K3903" s="9"/>
      <c r="L3903" s="9"/>
      <c r="M3903" s="9"/>
    </row>
    <row r="3904">
      <c r="J3904" s="9"/>
      <c r="K3904" s="9"/>
      <c r="L3904" s="9"/>
      <c r="M3904" s="9"/>
    </row>
    <row r="3905">
      <c r="J3905" s="9"/>
      <c r="K3905" s="9"/>
      <c r="L3905" s="9"/>
      <c r="M3905" s="9"/>
    </row>
    <row r="3906">
      <c r="J3906" s="9"/>
      <c r="K3906" s="9"/>
      <c r="L3906" s="9"/>
      <c r="M3906" s="9"/>
    </row>
    <row r="3907">
      <c r="J3907" s="9"/>
      <c r="K3907" s="9"/>
      <c r="L3907" s="9"/>
      <c r="M3907" s="9"/>
    </row>
    <row r="3908">
      <c r="J3908" s="9"/>
      <c r="K3908" s="9"/>
      <c r="L3908" s="9"/>
      <c r="M3908" s="9"/>
    </row>
    <row r="3909">
      <c r="J3909" s="9"/>
      <c r="K3909" s="9"/>
      <c r="L3909" s="9"/>
      <c r="M3909" s="9"/>
    </row>
    <row r="3910">
      <c r="J3910" s="9"/>
      <c r="K3910" s="9"/>
      <c r="L3910" s="9"/>
      <c r="M3910" s="9"/>
    </row>
    <row r="3911">
      <c r="J3911" s="9"/>
      <c r="K3911" s="9"/>
      <c r="L3911" s="9"/>
      <c r="M3911" s="9"/>
    </row>
    <row r="3912">
      <c r="J3912" s="9"/>
      <c r="K3912" s="9"/>
      <c r="L3912" s="9"/>
      <c r="M3912" s="9"/>
    </row>
    <row r="3913">
      <c r="J3913" s="9"/>
      <c r="K3913" s="9"/>
      <c r="L3913" s="9"/>
      <c r="M3913" s="9"/>
    </row>
    <row r="3914">
      <c r="J3914" s="9"/>
      <c r="K3914" s="9"/>
      <c r="L3914" s="9"/>
      <c r="M3914" s="9"/>
    </row>
    <row r="3915">
      <c r="J3915" s="9"/>
      <c r="K3915" s="9"/>
      <c r="L3915" s="9"/>
      <c r="M3915" s="9"/>
    </row>
    <row r="3916">
      <c r="J3916" s="9"/>
      <c r="K3916" s="9"/>
      <c r="L3916" s="9"/>
      <c r="M3916" s="9"/>
    </row>
    <row r="3917">
      <c r="J3917" s="9"/>
      <c r="K3917" s="9"/>
      <c r="L3917" s="9"/>
      <c r="M3917" s="9"/>
    </row>
    <row r="3918">
      <c r="J3918" s="9"/>
      <c r="K3918" s="9"/>
      <c r="L3918" s="9"/>
      <c r="M3918" s="9"/>
    </row>
    <row r="3919">
      <c r="J3919" s="9"/>
      <c r="K3919" s="9"/>
      <c r="L3919" s="9"/>
      <c r="M3919" s="9"/>
    </row>
    <row r="3920">
      <c r="J3920" s="9"/>
      <c r="K3920" s="9"/>
      <c r="L3920" s="9"/>
      <c r="M3920" s="9"/>
    </row>
    <row r="3921">
      <c r="J3921" s="9"/>
      <c r="K3921" s="9"/>
      <c r="L3921" s="9"/>
      <c r="M3921" s="9"/>
    </row>
    <row r="3922">
      <c r="J3922" s="9"/>
      <c r="K3922" s="9"/>
      <c r="L3922" s="9"/>
      <c r="M3922" s="9"/>
    </row>
    <row r="3923">
      <c r="J3923" s="9"/>
      <c r="K3923" s="9"/>
      <c r="L3923" s="9"/>
      <c r="M3923" s="9"/>
    </row>
    <row r="3924">
      <c r="J3924" s="9"/>
      <c r="K3924" s="9"/>
      <c r="L3924" s="9"/>
      <c r="M3924" s="9"/>
    </row>
    <row r="3925">
      <c r="J3925" s="9"/>
      <c r="K3925" s="9"/>
      <c r="L3925" s="9"/>
      <c r="M3925" s="9"/>
    </row>
    <row r="3926">
      <c r="J3926" s="9"/>
      <c r="K3926" s="9"/>
      <c r="L3926" s="9"/>
      <c r="M3926" s="9"/>
    </row>
    <row r="3927">
      <c r="J3927" s="9"/>
      <c r="K3927" s="9"/>
      <c r="L3927" s="9"/>
      <c r="M3927" s="9"/>
    </row>
    <row r="3928">
      <c r="J3928" s="9"/>
      <c r="K3928" s="9"/>
      <c r="L3928" s="9"/>
      <c r="M3928" s="9"/>
    </row>
    <row r="3929">
      <c r="J3929" s="9"/>
      <c r="K3929" s="9"/>
      <c r="L3929" s="9"/>
      <c r="M3929" s="9"/>
    </row>
    <row r="3930">
      <c r="J3930" s="9"/>
      <c r="K3930" s="9"/>
      <c r="L3930" s="9"/>
      <c r="M3930" s="9"/>
    </row>
    <row r="3931">
      <c r="J3931" s="9"/>
      <c r="K3931" s="9"/>
      <c r="L3931" s="9"/>
      <c r="M3931" s="9"/>
    </row>
    <row r="3932">
      <c r="J3932" s="9"/>
      <c r="K3932" s="9"/>
      <c r="L3932" s="9"/>
      <c r="M3932" s="9"/>
    </row>
    <row r="3933">
      <c r="J3933" s="9"/>
      <c r="K3933" s="9"/>
      <c r="L3933" s="9"/>
      <c r="M3933" s="9"/>
    </row>
    <row r="3934">
      <c r="J3934" s="9"/>
      <c r="K3934" s="9"/>
      <c r="L3934" s="9"/>
      <c r="M3934" s="9"/>
    </row>
    <row r="3935">
      <c r="J3935" s="9"/>
      <c r="K3935" s="9"/>
      <c r="L3935" s="9"/>
      <c r="M3935" s="9"/>
    </row>
    <row r="3936">
      <c r="J3936" s="9"/>
      <c r="K3936" s="9"/>
      <c r="L3936" s="9"/>
      <c r="M3936" s="9"/>
    </row>
    <row r="3937">
      <c r="J3937" s="9"/>
      <c r="K3937" s="9"/>
      <c r="L3937" s="9"/>
      <c r="M3937" s="9"/>
    </row>
    <row r="3938">
      <c r="J3938" s="9"/>
      <c r="K3938" s="9"/>
      <c r="L3938" s="9"/>
      <c r="M3938" s="9"/>
    </row>
    <row r="3939">
      <c r="J3939" s="9"/>
      <c r="K3939" s="9"/>
      <c r="L3939" s="9"/>
      <c r="M3939" s="9"/>
    </row>
    <row r="3940">
      <c r="J3940" s="9"/>
      <c r="K3940" s="9"/>
      <c r="L3940" s="9"/>
      <c r="M3940" s="9"/>
    </row>
    <row r="3941">
      <c r="J3941" s="9"/>
      <c r="K3941" s="9"/>
      <c r="L3941" s="9"/>
      <c r="M3941" s="9"/>
    </row>
    <row r="3942">
      <c r="J3942" s="9"/>
      <c r="K3942" s="9"/>
      <c r="L3942" s="9"/>
      <c r="M3942" s="9"/>
    </row>
    <row r="3943">
      <c r="J3943" s="9"/>
      <c r="K3943" s="9"/>
      <c r="L3943" s="9"/>
      <c r="M3943" s="9"/>
    </row>
    <row r="3944">
      <c r="J3944" s="9"/>
      <c r="K3944" s="9"/>
      <c r="L3944" s="9"/>
      <c r="M3944" s="9"/>
    </row>
    <row r="3945">
      <c r="J3945" s="9"/>
      <c r="K3945" s="9"/>
      <c r="L3945" s="9"/>
      <c r="M3945" s="9"/>
    </row>
    <row r="3946">
      <c r="J3946" s="9"/>
      <c r="K3946" s="9"/>
      <c r="L3946" s="9"/>
      <c r="M3946" s="9"/>
    </row>
    <row r="3947">
      <c r="J3947" s="9"/>
      <c r="K3947" s="9"/>
      <c r="L3947" s="9"/>
      <c r="M3947" s="9"/>
    </row>
    <row r="3948">
      <c r="J3948" s="9"/>
      <c r="K3948" s="9"/>
      <c r="L3948" s="9"/>
      <c r="M3948" s="9"/>
    </row>
    <row r="3949">
      <c r="J3949" s="9"/>
      <c r="K3949" s="9"/>
      <c r="L3949" s="9"/>
      <c r="M3949" s="9"/>
    </row>
    <row r="3950">
      <c r="J3950" s="9"/>
      <c r="K3950" s="9"/>
      <c r="L3950" s="9"/>
      <c r="M3950" s="9"/>
    </row>
    <row r="3951">
      <c r="J3951" s="9"/>
      <c r="K3951" s="9"/>
      <c r="L3951" s="9"/>
      <c r="M3951" s="9"/>
    </row>
    <row r="3952">
      <c r="J3952" s="9"/>
      <c r="K3952" s="9"/>
      <c r="L3952" s="9"/>
      <c r="M3952" s="9"/>
    </row>
    <row r="3953">
      <c r="J3953" s="9"/>
      <c r="K3953" s="9"/>
      <c r="L3953" s="9"/>
      <c r="M3953" s="9"/>
    </row>
    <row r="3954">
      <c r="J3954" s="9"/>
      <c r="K3954" s="9"/>
      <c r="L3954" s="9"/>
      <c r="M3954" s="9"/>
    </row>
    <row r="3955">
      <c r="J3955" s="9"/>
      <c r="K3955" s="9"/>
      <c r="L3955" s="9"/>
      <c r="M3955" s="9"/>
    </row>
    <row r="3956">
      <c r="J3956" s="9"/>
      <c r="K3956" s="9"/>
      <c r="L3956" s="9"/>
      <c r="M3956" s="9"/>
    </row>
    <row r="3957">
      <c r="J3957" s="9"/>
      <c r="K3957" s="9"/>
      <c r="L3957" s="9"/>
      <c r="M3957" s="9"/>
    </row>
    <row r="3958">
      <c r="J3958" s="9"/>
      <c r="K3958" s="9"/>
      <c r="L3958" s="9"/>
      <c r="M3958" s="9"/>
    </row>
    <row r="3959">
      <c r="J3959" s="9"/>
      <c r="K3959" s="9"/>
      <c r="L3959" s="9"/>
      <c r="M3959" s="9"/>
    </row>
    <row r="3960">
      <c r="J3960" s="9"/>
      <c r="K3960" s="9"/>
      <c r="L3960" s="9"/>
      <c r="M3960" s="9"/>
    </row>
    <row r="3961">
      <c r="J3961" s="9"/>
      <c r="K3961" s="9"/>
      <c r="L3961" s="9"/>
      <c r="M3961" s="9"/>
    </row>
    <row r="3962">
      <c r="J3962" s="9"/>
      <c r="K3962" s="9"/>
      <c r="L3962" s="9"/>
      <c r="M3962" s="9"/>
    </row>
    <row r="3963">
      <c r="J3963" s="9"/>
      <c r="K3963" s="9"/>
      <c r="L3963" s="9"/>
      <c r="M3963" s="9"/>
    </row>
    <row r="3964">
      <c r="J3964" s="9"/>
      <c r="K3964" s="9"/>
      <c r="L3964" s="9"/>
      <c r="M3964" s="9"/>
    </row>
    <row r="3965">
      <c r="J3965" s="9"/>
      <c r="K3965" s="9"/>
      <c r="L3965" s="9"/>
      <c r="M3965" s="9"/>
    </row>
    <row r="3966">
      <c r="J3966" s="9"/>
      <c r="K3966" s="9"/>
      <c r="L3966" s="9"/>
      <c r="M3966" s="9"/>
    </row>
    <row r="3967">
      <c r="J3967" s="9"/>
      <c r="K3967" s="9"/>
      <c r="L3967" s="9"/>
      <c r="M3967" s="9"/>
    </row>
    <row r="3968">
      <c r="J3968" s="9"/>
      <c r="K3968" s="9"/>
      <c r="L3968" s="9"/>
      <c r="M3968" s="9"/>
    </row>
    <row r="3969">
      <c r="J3969" s="9"/>
      <c r="K3969" s="9"/>
      <c r="L3969" s="9"/>
      <c r="M3969" s="9"/>
    </row>
    <row r="3970">
      <c r="J3970" s="9"/>
      <c r="K3970" s="9"/>
      <c r="L3970" s="9"/>
      <c r="M3970" s="9"/>
    </row>
    <row r="3971">
      <c r="J3971" s="9"/>
      <c r="K3971" s="9"/>
      <c r="L3971" s="9"/>
      <c r="M3971" s="9"/>
    </row>
    <row r="3972">
      <c r="J3972" s="9"/>
      <c r="K3972" s="9"/>
      <c r="L3972" s="9"/>
      <c r="M3972" s="9"/>
    </row>
    <row r="3973">
      <c r="J3973" s="9"/>
      <c r="K3973" s="9"/>
      <c r="L3973" s="9"/>
      <c r="M3973" s="9"/>
    </row>
    <row r="3974">
      <c r="J3974" s="9"/>
      <c r="K3974" s="9"/>
      <c r="L3974" s="9"/>
      <c r="M3974" s="9"/>
    </row>
    <row r="3975">
      <c r="J3975" s="9"/>
      <c r="K3975" s="9"/>
      <c r="L3975" s="9"/>
      <c r="M3975" s="9"/>
    </row>
    <row r="3976">
      <c r="J3976" s="9"/>
      <c r="K3976" s="9"/>
      <c r="L3976" s="9"/>
      <c r="M3976" s="9"/>
    </row>
    <row r="3977">
      <c r="J3977" s="9"/>
      <c r="K3977" s="9"/>
      <c r="L3977" s="9"/>
      <c r="M3977" s="9"/>
    </row>
    <row r="3978">
      <c r="J3978" s="9"/>
      <c r="K3978" s="9"/>
      <c r="L3978" s="9"/>
      <c r="M3978" s="9"/>
    </row>
    <row r="3979">
      <c r="J3979" s="9"/>
      <c r="K3979" s="9"/>
      <c r="L3979" s="9"/>
      <c r="M3979" s="9"/>
    </row>
    <row r="3980">
      <c r="J3980" s="9"/>
      <c r="K3980" s="9"/>
      <c r="L3980" s="9"/>
      <c r="M3980" s="9"/>
    </row>
    <row r="3981">
      <c r="J3981" s="9"/>
      <c r="K3981" s="9"/>
      <c r="L3981" s="9"/>
      <c r="M3981" s="9"/>
    </row>
    <row r="3982">
      <c r="J3982" s="9"/>
      <c r="K3982" s="9"/>
      <c r="L3982" s="9"/>
      <c r="M3982" s="9"/>
    </row>
    <row r="3983">
      <c r="J3983" s="9"/>
      <c r="K3983" s="9"/>
      <c r="L3983" s="9"/>
      <c r="M3983" s="9"/>
    </row>
    <row r="3984">
      <c r="J3984" s="9"/>
      <c r="K3984" s="9"/>
      <c r="L3984" s="9"/>
      <c r="M3984" s="9"/>
    </row>
    <row r="3985">
      <c r="J3985" s="9"/>
      <c r="K3985" s="9"/>
      <c r="L3985" s="9"/>
      <c r="M3985" s="9"/>
    </row>
    <row r="3986">
      <c r="J3986" s="9"/>
      <c r="K3986" s="9"/>
      <c r="L3986" s="9"/>
      <c r="M3986" s="9"/>
    </row>
    <row r="3987">
      <c r="J3987" s="9"/>
      <c r="K3987" s="9"/>
      <c r="L3987" s="9"/>
      <c r="M3987" s="9"/>
    </row>
    <row r="3988">
      <c r="J3988" s="9"/>
      <c r="K3988" s="9"/>
      <c r="L3988" s="9"/>
      <c r="M3988" s="9"/>
    </row>
    <row r="3989">
      <c r="J3989" s="9"/>
      <c r="K3989" s="9"/>
      <c r="L3989" s="9"/>
      <c r="M3989" s="9"/>
    </row>
    <row r="3990">
      <c r="J3990" s="9"/>
      <c r="K3990" s="9"/>
      <c r="L3990" s="9"/>
      <c r="M3990" s="9"/>
    </row>
    <row r="3991">
      <c r="J3991" s="9"/>
      <c r="K3991" s="9"/>
      <c r="L3991" s="9"/>
      <c r="M3991" s="9"/>
    </row>
    <row r="3992">
      <c r="J3992" s="9"/>
      <c r="K3992" s="9"/>
      <c r="L3992" s="9"/>
      <c r="M3992" s="9"/>
    </row>
    <row r="3993">
      <c r="J3993" s="9"/>
      <c r="K3993" s="9"/>
      <c r="L3993" s="9"/>
      <c r="M3993" s="9"/>
    </row>
    <row r="3994">
      <c r="J3994" s="9"/>
      <c r="K3994" s="9"/>
      <c r="L3994" s="9"/>
      <c r="M3994" s="9"/>
    </row>
    <row r="3995">
      <c r="J3995" s="9"/>
      <c r="K3995" s="9"/>
      <c r="L3995" s="9"/>
      <c r="M3995" s="9"/>
    </row>
    <row r="3996">
      <c r="J3996" s="9"/>
      <c r="K3996" s="9"/>
      <c r="L3996" s="9"/>
      <c r="M3996" s="9"/>
    </row>
    <row r="3997">
      <c r="J3997" s="9"/>
      <c r="K3997" s="9"/>
      <c r="L3997" s="9"/>
      <c r="M3997" s="9"/>
    </row>
    <row r="3998">
      <c r="J3998" s="9"/>
      <c r="K3998" s="9"/>
      <c r="L3998" s="9"/>
      <c r="M3998" s="9"/>
    </row>
    <row r="3999">
      <c r="J3999" s="9"/>
      <c r="K3999" s="9"/>
      <c r="L3999" s="9"/>
      <c r="M3999" s="9"/>
    </row>
    <row r="4000">
      <c r="J4000" s="9"/>
      <c r="K4000" s="9"/>
      <c r="L4000" s="9"/>
      <c r="M4000" s="9"/>
    </row>
    <row r="4001">
      <c r="J4001" s="9"/>
      <c r="K4001" s="9"/>
      <c r="L4001" s="9"/>
      <c r="M4001" s="9"/>
    </row>
    <row r="4002">
      <c r="J4002" s="9"/>
      <c r="K4002" s="9"/>
      <c r="L4002" s="9"/>
      <c r="M4002" s="9"/>
    </row>
    <row r="4003">
      <c r="J4003" s="9"/>
      <c r="K4003" s="9"/>
      <c r="L4003" s="9"/>
      <c r="M4003" s="9"/>
    </row>
    <row r="4004">
      <c r="J4004" s="9"/>
      <c r="K4004" s="9"/>
      <c r="L4004" s="9"/>
      <c r="M4004" s="9"/>
    </row>
    <row r="4005">
      <c r="J4005" s="9"/>
      <c r="K4005" s="9"/>
      <c r="L4005" s="9"/>
      <c r="M4005" s="9"/>
    </row>
    <row r="4006">
      <c r="J4006" s="9"/>
      <c r="K4006" s="9"/>
      <c r="L4006" s="9"/>
      <c r="M4006" s="9"/>
    </row>
    <row r="4007">
      <c r="J4007" s="9"/>
      <c r="K4007" s="9"/>
      <c r="L4007" s="9"/>
      <c r="M4007" s="9"/>
    </row>
    <row r="4008">
      <c r="J4008" s="9"/>
      <c r="K4008" s="9"/>
      <c r="L4008" s="9"/>
      <c r="M4008" s="9"/>
    </row>
    <row r="4009">
      <c r="J4009" s="9"/>
      <c r="K4009" s="9"/>
      <c r="L4009" s="9"/>
      <c r="M4009" s="9"/>
    </row>
    <row r="4010">
      <c r="J4010" s="9"/>
      <c r="K4010" s="9"/>
      <c r="L4010" s="9"/>
      <c r="M4010" s="9"/>
    </row>
    <row r="4011">
      <c r="J4011" s="9"/>
      <c r="K4011" s="9"/>
      <c r="L4011" s="9"/>
      <c r="M4011" s="9"/>
    </row>
    <row r="4012">
      <c r="J4012" s="9"/>
      <c r="K4012" s="9"/>
      <c r="L4012" s="9"/>
      <c r="M4012" s="9"/>
    </row>
    <row r="4013">
      <c r="J4013" s="9"/>
      <c r="K4013" s="9"/>
      <c r="L4013" s="9"/>
      <c r="M4013" s="9"/>
    </row>
    <row r="4014">
      <c r="J4014" s="9"/>
      <c r="K4014" s="9"/>
      <c r="L4014" s="9"/>
      <c r="M4014" s="9"/>
    </row>
    <row r="4015">
      <c r="J4015" s="9"/>
      <c r="K4015" s="9"/>
      <c r="L4015" s="9"/>
      <c r="M4015" s="9"/>
    </row>
    <row r="4016">
      <c r="J4016" s="9"/>
      <c r="K4016" s="9"/>
      <c r="L4016" s="9"/>
      <c r="M4016" s="9"/>
    </row>
    <row r="4017">
      <c r="J4017" s="9"/>
      <c r="K4017" s="9"/>
      <c r="L4017" s="9"/>
      <c r="M4017" s="9"/>
    </row>
    <row r="4018">
      <c r="J4018" s="9"/>
      <c r="K4018" s="9"/>
      <c r="L4018" s="9"/>
      <c r="M4018" s="9"/>
    </row>
    <row r="4019">
      <c r="J4019" s="9"/>
      <c r="K4019" s="9"/>
      <c r="L4019" s="9"/>
      <c r="M4019" s="9"/>
    </row>
    <row r="4020">
      <c r="J4020" s="9"/>
      <c r="K4020" s="9"/>
      <c r="L4020" s="9"/>
      <c r="M4020" s="9"/>
    </row>
    <row r="4021">
      <c r="J4021" s="9"/>
      <c r="K4021" s="9"/>
      <c r="L4021" s="9"/>
      <c r="M4021" s="9"/>
    </row>
    <row r="4022">
      <c r="J4022" s="9"/>
      <c r="K4022" s="9"/>
      <c r="L4022" s="9"/>
      <c r="M4022" s="9"/>
    </row>
    <row r="4023">
      <c r="J4023" s="9"/>
      <c r="K4023" s="9"/>
      <c r="L4023" s="9"/>
      <c r="M4023" s="9"/>
    </row>
    <row r="4024">
      <c r="J4024" s="9"/>
      <c r="K4024" s="9"/>
      <c r="L4024" s="9"/>
      <c r="M4024" s="9"/>
    </row>
    <row r="4025">
      <c r="J4025" s="9"/>
      <c r="K4025" s="9"/>
      <c r="L4025" s="9"/>
      <c r="M4025" s="9"/>
    </row>
    <row r="4026">
      <c r="J4026" s="9"/>
      <c r="K4026" s="9"/>
      <c r="L4026" s="9"/>
      <c r="M4026" s="9"/>
    </row>
    <row r="4027">
      <c r="J4027" s="9"/>
      <c r="K4027" s="9"/>
      <c r="L4027" s="9"/>
      <c r="M4027" s="9"/>
    </row>
    <row r="4028">
      <c r="J4028" s="9"/>
      <c r="K4028" s="9"/>
      <c r="L4028" s="9"/>
      <c r="M4028" s="9"/>
    </row>
    <row r="4029">
      <c r="J4029" s="9"/>
      <c r="K4029" s="9"/>
      <c r="L4029" s="9"/>
      <c r="M4029" s="9"/>
    </row>
    <row r="4030">
      <c r="J4030" s="9"/>
      <c r="K4030" s="9"/>
      <c r="L4030" s="9"/>
      <c r="M4030" s="9"/>
    </row>
    <row r="4031">
      <c r="J4031" s="9"/>
      <c r="K4031" s="9"/>
      <c r="L4031" s="9"/>
      <c r="M4031" s="9"/>
    </row>
    <row r="4032">
      <c r="J4032" s="9"/>
      <c r="K4032" s="9"/>
      <c r="L4032" s="9"/>
      <c r="M4032" s="9"/>
    </row>
    <row r="4033">
      <c r="J4033" s="9"/>
      <c r="K4033" s="9"/>
      <c r="L4033" s="9"/>
      <c r="M4033" s="9"/>
    </row>
    <row r="4034">
      <c r="J4034" s="9"/>
      <c r="K4034" s="9"/>
      <c r="L4034" s="9"/>
      <c r="M4034" s="9"/>
    </row>
    <row r="4035">
      <c r="J4035" s="9"/>
      <c r="K4035" s="9"/>
      <c r="L4035" s="9"/>
      <c r="M4035" s="9"/>
    </row>
    <row r="4036">
      <c r="J4036" s="9"/>
      <c r="K4036" s="9"/>
      <c r="L4036" s="9"/>
      <c r="M4036" s="9"/>
    </row>
    <row r="4037">
      <c r="J4037" s="9"/>
      <c r="K4037" s="9"/>
      <c r="L4037" s="9"/>
      <c r="M4037" s="9"/>
    </row>
    <row r="4038">
      <c r="J4038" s="9"/>
      <c r="K4038" s="9"/>
      <c r="L4038" s="9"/>
      <c r="M4038" s="9"/>
    </row>
    <row r="4039">
      <c r="J4039" s="9"/>
      <c r="K4039" s="9"/>
      <c r="L4039" s="9"/>
      <c r="M4039" s="9"/>
    </row>
    <row r="4040">
      <c r="J4040" s="9"/>
      <c r="K4040" s="9"/>
      <c r="L4040" s="9"/>
      <c r="M4040" s="9"/>
    </row>
    <row r="4041">
      <c r="J4041" s="9"/>
      <c r="K4041" s="9"/>
      <c r="L4041" s="9"/>
      <c r="M4041" s="9"/>
    </row>
    <row r="4042">
      <c r="J4042" s="9"/>
      <c r="K4042" s="9"/>
      <c r="L4042" s="9"/>
      <c r="M4042" s="9"/>
    </row>
    <row r="4043">
      <c r="J4043" s="9"/>
      <c r="K4043" s="9"/>
      <c r="L4043" s="9"/>
      <c r="M4043" s="9"/>
    </row>
    <row r="4044">
      <c r="J4044" s="9"/>
      <c r="K4044" s="9"/>
      <c r="L4044" s="9"/>
      <c r="M4044" s="9"/>
    </row>
    <row r="4045">
      <c r="J4045" s="9"/>
      <c r="K4045" s="9"/>
      <c r="L4045" s="9"/>
      <c r="M4045" s="9"/>
    </row>
    <row r="4046">
      <c r="J4046" s="9"/>
      <c r="K4046" s="9"/>
      <c r="L4046" s="9"/>
      <c r="M4046" s="9"/>
    </row>
    <row r="4047">
      <c r="J4047" s="9"/>
      <c r="K4047" s="9"/>
      <c r="L4047" s="9"/>
      <c r="M4047" s="9"/>
    </row>
    <row r="4048">
      <c r="J4048" s="9"/>
      <c r="K4048" s="9"/>
      <c r="L4048" s="9"/>
      <c r="M4048" s="9"/>
    </row>
    <row r="4049">
      <c r="J4049" s="9"/>
      <c r="K4049" s="9"/>
      <c r="L4049" s="9"/>
      <c r="M4049" s="9"/>
    </row>
    <row r="4050">
      <c r="J4050" s="9"/>
      <c r="K4050" s="9"/>
      <c r="L4050" s="9"/>
      <c r="M4050" s="9"/>
    </row>
    <row r="4051">
      <c r="J4051" s="9"/>
      <c r="K4051" s="9"/>
      <c r="L4051" s="9"/>
      <c r="M4051" s="9"/>
    </row>
    <row r="4052">
      <c r="J4052" s="9"/>
      <c r="K4052" s="9"/>
      <c r="L4052" s="9"/>
      <c r="M4052" s="9"/>
    </row>
    <row r="4053">
      <c r="J4053" s="9"/>
      <c r="K4053" s="9"/>
      <c r="L4053" s="9"/>
      <c r="M4053" s="9"/>
    </row>
    <row r="4054">
      <c r="J4054" s="9"/>
      <c r="K4054" s="9"/>
      <c r="L4054" s="9"/>
      <c r="M4054" s="9"/>
    </row>
    <row r="4055">
      <c r="J4055" s="9"/>
      <c r="K4055" s="9"/>
      <c r="L4055" s="9"/>
      <c r="M4055" s="9"/>
    </row>
    <row r="4056">
      <c r="J4056" s="9"/>
      <c r="K4056" s="9"/>
      <c r="L4056" s="9"/>
      <c r="M4056" s="9"/>
    </row>
    <row r="4057">
      <c r="J4057" s="9"/>
      <c r="K4057" s="9"/>
      <c r="L4057" s="9"/>
      <c r="M4057" s="9"/>
    </row>
    <row r="4058">
      <c r="J4058" s="9"/>
      <c r="K4058" s="9"/>
      <c r="L4058" s="9"/>
      <c r="M4058" s="9"/>
    </row>
    <row r="4059">
      <c r="J4059" s="9"/>
      <c r="K4059" s="9"/>
      <c r="L4059" s="9"/>
      <c r="M4059" s="9"/>
    </row>
    <row r="4060">
      <c r="J4060" s="9"/>
      <c r="K4060" s="9"/>
      <c r="L4060" s="9"/>
      <c r="M4060" s="9"/>
    </row>
    <row r="4061">
      <c r="J4061" s="9"/>
      <c r="K4061" s="9"/>
      <c r="L4061" s="9"/>
      <c r="M4061" s="9"/>
    </row>
    <row r="4062">
      <c r="J4062" s="9"/>
      <c r="K4062" s="9"/>
      <c r="L4062" s="9"/>
      <c r="M4062" s="9"/>
    </row>
    <row r="4063">
      <c r="J4063" s="9"/>
      <c r="K4063" s="9"/>
      <c r="L4063" s="9"/>
      <c r="M4063" s="9"/>
    </row>
    <row r="4064">
      <c r="J4064" s="9"/>
      <c r="K4064" s="9"/>
      <c r="L4064" s="9"/>
      <c r="M4064" s="9"/>
    </row>
    <row r="4065">
      <c r="J4065" s="9"/>
      <c r="K4065" s="9"/>
      <c r="L4065" s="9"/>
      <c r="M4065" s="9"/>
    </row>
    <row r="4066">
      <c r="J4066" s="9"/>
      <c r="K4066" s="9"/>
      <c r="L4066" s="9"/>
      <c r="M4066" s="9"/>
    </row>
    <row r="4067">
      <c r="J4067" s="9"/>
      <c r="K4067" s="9"/>
      <c r="L4067" s="9"/>
      <c r="M4067" s="9"/>
    </row>
    <row r="4068">
      <c r="J4068" s="9"/>
      <c r="K4068" s="9"/>
      <c r="L4068" s="9"/>
      <c r="M4068" s="9"/>
    </row>
    <row r="4069">
      <c r="J4069" s="9"/>
      <c r="K4069" s="9"/>
      <c r="L4069" s="9"/>
      <c r="M4069" s="9"/>
    </row>
    <row r="4070">
      <c r="J4070" s="9"/>
      <c r="K4070" s="9"/>
      <c r="L4070" s="9"/>
      <c r="M4070" s="9"/>
    </row>
    <row r="4071">
      <c r="J4071" s="9"/>
      <c r="K4071" s="9"/>
      <c r="L4071" s="9"/>
      <c r="M4071" s="9"/>
    </row>
    <row r="4072">
      <c r="J4072" s="9"/>
      <c r="K4072" s="9"/>
      <c r="L4072" s="9"/>
      <c r="M4072" s="9"/>
    </row>
    <row r="4073">
      <c r="J4073" s="9"/>
      <c r="K4073" s="9"/>
      <c r="L4073" s="9"/>
      <c r="M4073" s="9"/>
    </row>
    <row r="4074">
      <c r="J4074" s="9"/>
      <c r="K4074" s="9"/>
      <c r="L4074" s="9"/>
      <c r="M4074" s="9"/>
    </row>
    <row r="4075">
      <c r="J4075" s="9"/>
      <c r="K4075" s="9"/>
      <c r="L4075" s="9"/>
      <c r="M4075" s="9"/>
    </row>
    <row r="4076">
      <c r="J4076" s="9"/>
      <c r="K4076" s="9"/>
      <c r="L4076" s="9"/>
      <c r="M4076" s="9"/>
    </row>
    <row r="4077">
      <c r="J4077" s="9"/>
      <c r="K4077" s="9"/>
      <c r="L4077" s="9"/>
      <c r="M4077" s="9"/>
    </row>
    <row r="4078">
      <c r="J4078" s="9"/>
      <c r="K4078" s="9"/>
      <c r="L4078" s="9"/>
      <c r="M4078" s="9"/>
    </row>
    <row r="4079">
      <c r="J4079" s="9"/>
      <c r="K4079" s="9"/>
      <c r="L4079" s="9"/>
      <c r="M4079" s="9"/>
    </row>
    <row r="4080">
      <c r="J4080" s="9"/>
      <c r="K4080" s="9"/>
      <c r="L4080" s="9"/>
      <c r="M4080" s="9"/>
    </row>
    <row r="4081">
      <c r="J4081" s="9"/>
      <c r="K4081" s="9"/>
      <c r="L4081" s="9"/>
      <c r="M4081" s="9"/>
    </row>
    <row r="4082">
      <c r="J4082" s="9"/>
      <c r="K4082" s="9"/>
      <c r="L4082" s="9"/>
      <c r="M4082" s="9"/>
    </row>
    <row r="4083">
      <c r="J4083" s="9"/>
      <c r="K4083" s="9"/>
      <c r="L4083" s="9"/>
      <c r="M4083" s="9"/>
    </row>
    <row r="4084">
      <c r="J4084" s="9"/>
      <c r="K4084" s="9"/>
      <c r="L4084" s="9"/>
      <c r="M4084" s="9"/>
    </row>
    <row r="4085">
      <c r="J4085" s="9"/>
      <c r="K4085" s="9"/>
      <c r="L4085" s="9"/>
      <c r="M4085" s="9"/>
    </row>
    <row r="4086">
      <c r="J4086" s="9"/>
      <c r="K4086" s="9"/>
      <c r="L4086" s="9"/>
      <c r="M4086" s="9"/>
    </row>
    <row r="4087">
      <c r="J4087" s="9"/>
      <c r="K4087" s="9"/>
      <c r="L4087" s="9"/>
      <c r="M4087" s="9"/>
    </row>
    <row r="4088">
      <c r="J4088" s="9"/>
      <c r="K4088" s="9"/>
      <c r="L4088" s="9"/>
      <c r="M4088" s="9"/>
    </row>
    <row r="4089">
      <c r="J4089" s="9"/>
      <c r="K4089" s="9"/>
      <c r="L4089" s="9"/>
      <c r="M4089" s="9"/>
    </row>
    <row r="4090">
      <c r="J4090" s="9"/>
      <c r="K4090" s="9"/>
      <c r="L4090" s="9"/>
      <c r="M4090" s="9"/>
    </row>
    <row r="4091">
      <c r="J4091" s="9"/>
      <c r="K4091" s="9"/>
      <c r="L4091" s="9"/>
      <c r="M4091" s="9"/>
    </row>
    <row r="4092">
      <c r="J4092" s="9"/>
      <c r="K4092" s="9"/>
      <c r="L4092" s="9"/>
      <c r="M4092" s="9"/>
    </row>
    <row r="4093">
      <c r="J4093" s="9"/>
      <c r="K4093" s="9"/>
      <c r="L4093" s="9"/>
      <c r="M4093" s="9"/>
    </row>
    <row r="4094">
      <c r="J4094" s="9"/>
      <c r="K4094" s="9"/>
      <c r="L4094" s="9"/>
      <c r="M4094" s="9"/>
    </row>
    <row r="4095">
      <c r="J4095" s="9"/>
      <c r="K4095" s="9"/>
      <c r="L4095" s="9"/>
      <c r="M4095" s="9"/>
    </row>
    <row r="4096">
      <c r="J4096" s="9"/>
      <c r="K4096" s="9"/>
      <c r="L4096" s="9"/>
      <c r="M4096" s="9"/>
    </row>
    <row r="4097">
      <c r="J4097" s="9"/>
      <c r="K4097" s="9"/>
      <c r="L4097" s="9"/>
      <c r="M4097" s="9"/>
    </row>
    <row r="4098">
      <c r="J4098" s="9"/>
      <c r="K4098" s="9"/>
      <c r="L4098" s="9"/>
      <c r="M4098" s="9"/>
    </row>
    <row r="4099">
      <c r="J4099" s="9"/>
      <c r="K4099" s="9"/>
      <c r="L4099" s="9"/>
      <c r="M4099" s="9"/>
    </row>
    <row r="4100">
      <c r="J4100" s="9"/>
      <c r="K4100" s="9"/>
      <c r="L4100" s="9"/>
      <c r="M4100" s="9"/>
    </row>
    <row r="4101">
      <c r="J4101" s="9"/>
      <c r="K4101" s="9"/>
      <c r="L4101" s="9"/>
      <c r="M4101" s="9"/>
    </row>
    <row r="4102">
      <c r="J4102" s="9"/>
      <c r="K4102" s="9"/>
      <c r="L4102" s="9"/>
      <c r="M4102" s="9"/>
    </row>
    <row r="4103">
      <c r="J4103" s="9"/>
      <c r="K4103" s="9"/>
      <c r="L4103" s="9"/>
      <c r="M4103" s="9"/>
    </row>
    <row r="4104">
      <c r="J4104" s="9"/>
      <c r="K4104" s="9"/>
      <c r="L4104" s="9"/>
      <c r="M4104" s="9"/>
    </row>
    <row r="4105">
      <c r="J4105" s="9"/>
      <c r="K4105" s="9"/>
      <c r="L4105" s="9"/>
      <c r="M4105" s="9"/>
    </row>
    <row r="4106">
      <c r="J4106" s="9"/>
      <c r="K4106" s="9"/>
      <c r="L4106" s="9"/>
      <c r="M4106" s="9"/>
    </row>
    <row r="4107">
      <c r="J4107" s="9"/>
      <c r="K4107" s="9"/>
      <c r="L4107" s="9"/>
      <c r="M4107" s="9"/>
    </row>
    <row r="4108">
      <c r="J4108" s="9"/>
      <c r="K4108" s="9"/>
      <c r="L4108" s="9"/>
      <c r="M4108" s="9"/>
    </row>
    <row r="4109">
      <c r="J4109" s="9"/>
      <c r="K4109" s="9"/>
      <c r="L4109" s="9"/>
      <c r="M4109" s="9"/>
    </row>
    <row r="4110">
      <c r="J4110" s="9"/>
      <c r="K4110" s="9"/>
      <c r="L4110" s="9"/>
      <c r="M4110" s="9"/>
    </row>
    <row r="4111">
      <c r="J4111" s="9"/>
      <c r="K4111" s="9"/>
      <c r="L4111" s="9"/>
      <c r="M4111" s="9"/>
    </row>
    <row r="4112">
      <c r="J4112" s="9"/>
      <c r="K4112" s="9"/>
      <c r="L4112" s="9"/>
      <c r="M4112" s="9"/>
    </row>
    <row r="4113">
      <c r="J4113" s="9"/>
      <c r="K4113" s="9"/>
      <c r="L4113" s="9"/>
      <c r="M4113" s="9"/>
    </row>
    <row r="4114">
      <c r="J4114" s="9"/>
      <c r="K4114" s="9"/>
      <c r="L4114" s="9"/>
      <c r="M4114" s="9"/>
    </row>
    <row r="4115">
      <c r="J4115" s="9"/>
      <c r="K4115" s="9"/>
      <c r="L4115" s="9"/>
      <c r="M4115" s="9"/>
    </row>
    <row r="4116">
      <c r="J4116" s="9"/>
      <c r="K4116" s="9"/>
      <c r="L4116" s="9"/>
      <c r="M4116" s="9"/>
    </row>
    <row r="4117">
      <c r="J4117" s="9"/>
      <c r="K4117" s="9"/>
      <c r="L4117" s="9"/>
      <c r="M4117" s="9"/>
    </row>
    <row r="4118">
      <c r="J4118" s="9"/>
      <c r="K4118" s="9"/>
      <c r="L4118" s="9"/>
      <c r="M4118" s="9"/>
    </row>
    <row r="4119">
      <c r="J4119" s="9"/>
      <c r="K4119" s="9"/>
      <c r="L4119" s="9"/>
      <c r="M4119" s="9"/>
    </row>
    <row r="4120">
      <c r="J4120" s="9"/>
      <c r="K4120" s="9"/>
      <c r="L4120" s="9"/>
      <c r="M4120" s="9"/>
    </row>
    <row r="4121">
      <c r="J4121" s="9"/>
      <c r="K4121" s="9"/>
      <c r="L4121" s="9"/>
      <c r="M4121" s="9"/>
    </row>
    <row r="4122">
      <c r="J4122" s="9"/>
      <c r="K4122" s="9"/>
      <c r="L4122" s="9"/>
      <c r="M4122" s="9"/>
    </row>
    <row r="4123">
      <c r="J4123" s="9"/>
      <c r="K4123" s="9"/>
      <c r="L4123" s="9"/>
      <c r="M4123" s="9"/>
    </row>
    <row r="4124">
      <c r="J4124" s="9"/>
      <c r="K4124" s="9"/>
      <c r="L4124" s="9"/>
      <c r="M4124" s="9"/>
    </row>
    <row r="4125">
      <c r="J4125" s="9"/>
      <c r="K4125" s="9"/>
      <c r="L4125" s="9"/>
      <c r="M4125" s="9"/>
    </row>
    <row r="4126">
      <c r="J4126" s="9"/>
      <c r="K4126" s="9"/>
      <c r="L4126" s="9"/>
      <c r="M4126" s="9"/>
    </row>
    <row r="4127">
      <c r="J4127" s="9"/>
      <c r="K4127" s="9"/>
      <c r="L4127" s="9"/>
      <c r="M4127" s="9"/>
    </row>
    <row r="4128">
      <c r="J4128" s="9"/>
      <c r="K4128" s="9"/>
      <c r="L4128" s="9"/>
      <c r="M4128" s="9"/>
    </row>
    <row r="4129">
      <c r="J4129" s="9"/>
      <c r="K4129" s="9"/>
      <c r="L4129" s="9"/>
      <c r="M4129" s="9"/>
    </row>
    <row r="4130">
      <c r="J4130" s="9"/>
      <c r="K4130" s="9"/>
      <c r="L4130" s="9"/>
      <c r="M4130" s="9"/>
    </row>
    <row r="4131">
      <c r="J4131" s="9"/>
      <c r="K4131" s="9"/>
      <c r="L4131" s="9"/>
      <c r="M4131" s="9"/>
    </row>
    <row r="4132">
      <c r="J4132" s="9"/>
      <c r="K4132" s="9"/>
      <c r="L4132" s="9"/>
      <c r="M4132" s="9"/>
    </row>
    <row r="4133">
      <c r="J4133" s="9"/>
      <c r="K4133" s="9"/>
      <c r="L4133" s="9"/>
      <c r="M4133" s="9"/>
    </row>
    <row r="4134">
      <c r="J4134" s="9"/>
      <c r="K4134" s="9"/>
      <c r="L4134" s="9"/>
      <c r="M4134" s="9"/>
    </row>
    <row r="4135">
      <c r="J4135" s="9"/>
      <c r="K4135" s="9"/>
      <c r="L4135" s="9"/>
      <c r="M4135" s="9"/>
    </row>
    <row r="4136">
      <c r="J4136" s="9"/>
      <c r="K4136" s="9"/>
      <c r="L4136" s="9"/>
      <c r="M4136" s="9"/>
    </row>
    <row r="4137">
      <c r="J4137" s="9"/>
      <c r="K4137" s="9"/>
      <c r="L4137" s="9"/>
      <c r="M4137" s="9"/>
    </row>
    <row r="4138">
      <c r="J4138" s="9"/>
      <c r="K4138" s="9"/>
      <c r="L4138" s="9"/>
      <c r="M4138" s="9"/>
    </row>
    <row r="4139">
      <c r="J4139" s="9"/>
      <c r="K4139" s="9"/>
      <c r="L4139" s="9"/>
      <c r="M4139" s="9"/>
    </row>
    <row r="4140">
      <c r="J4140" s="9"/>
      <c r="K4140" s="9"/>
      <c r="L4140" s="9"/>
      <c r="M4140" s="9"/>
    </row>
    <row r="4141">
      <c r="J4141" s="9"/>
      <c r="K4141" s="9"/>
      <c r="L4141" s="9"/>
      <c r="M4141" s="9"/>
    </row>
    <row r="4142">
      <c r="J4142" s="9"/>
      <c r="K4142" s="9"/>
      <c r="L4142" s="9"/>
      <c r="M4142" s="9"/>
    </row>
    <row r="4143">
      <c r="J4143" s="9"/>
      <c r="K4143" s="9"/>
      <c r="L4143" s="9"/>
      <c r="M4143" s="9"/>
    </row>
    <row r="4144">
      <c r="J4144" s="9"/>
      <c r="K4144" s="9"/>
      <c r="L4144" s="9"/>
      <c r="M4144" s="9"/>
    </row>
    <row r="4145">
      <c r="J4145" s="9"/>
      <c r="K4145" s="9"/>
      <c r="L4145" s="9"/>
      <c r="M4145" s="9"/>
    </row>
    <row r="4146">
      <c r="J4146" s="9"/>
      <c r="K4146" s="9"/>
      <c r="L4146" s="9"/>
      <c r="M4146" s="9"/>
    </row>
    <row r="4147">
      <c r="J4147" s="9"/>
      <c r="K4147" s="9"/>
      <c r="L4147" s="9"/>
      <c r="M4147" s="9"/>
    </row>
    <row r="4148">
      <c r="J4148" s="9"/>
      <c r="K4148" s="9"/>
      <c r="L4148" s="9"/>
      <c r="M4148" s="9"/>
    </row>
    <row r="4149">
      <c r="J4149" s="9"/>
      <c r="K4149" s="9"/>
      <c r="L4149" s="9"/>
      <c r="M4149" s="9"/>
    </row>
    <row r="4150">
      <c r="J4150" s="9"/>
      <c r="K4150" s="9"/>
      <c r="L4150" s="9"/>
      <c r="M4150" s="9"/>
    </row>
    <row r="4151">
      <c r="J4151" s="9"/>
      <c r="K4151" s="9"/>
      <c r="L4151" s="9"/>
      <c r="M4151" s="9"/>
    </row>
    <row r="4152">
      <c r="J4152" s="9"/>
      <c r="K4152" s="9"/>
      <c r="L4152" s="9"/>
      <c r="M4152" s="9"/>
    </row>
    <row r="4153">
      <c r="J4153" s="9"/>
      <c r="K4153" s="9"/>
      <c r="L4153" s="9"/>
      <c r="M4153" s="9"/>
    </row>
    <row r="4154">
      <c r="J4154" s="9"/>
      <c r="K4154" s="9"/>
      <c r="L4154" s="9"/>
      <c r="M4154" s="9"/>
    </row>
    <row r="4155">
      <c r="J4155" s="9"/>
      <c r="K4155" s="9"/>
      <c r="L4155" s="9"/>
      <c r="M4155" s="9"/>
    </row>
    <row r="4156">
      <c r="J4156" s="9"/>
      <c r="K4156" s="9"/>
      <c r="L4156" s="9"/>
      <c r="M4156" s="9"/>
    </row>
    <row r="4157">
      <c r="J4157" s="9"/>
      <c r="K4157" s="9"/>
      <c r="L4157" s="9"/>
      <c r="M4157" s="9"/>
    </row>
    <row r="4158">
      <c r="J4158" s="9"/>
      <c r="K4158" s="9"/>
      <c r="L4158" s="9"/>
      <c r="M4158" s="9"/>
    </row>
    <row r="4159">
      <c r="J4159" s="9"/>
      <c r="K4159" s="9"/>
      <c r="L4159" s="9"/>
      <c r="M4159" s="9"/>
    </row>
    <row r="4160">
      <c r="J4160" s="9"/>
      <c r="K4160" s="9"/>
      <c r="L4160" s="9"/>
      <c r="M4160" s="9"/>
    </row>
    <row r="4161">
      <c r="J4161" s="9"/>
      <c r="K4161" s="9"/>
      <c r="L4161" s="9"/>
      <c r="M4161" s="9"/>
    </row>
    <row r="4162">
      <c r="J4162" s="9"/>
      <c r="K4162" s="9"/>
      <c r="L4162" s="9"/>
      <c r="M4162" s="9"/>
    </row>
    <row r="4163">
      <c r="J4163" s="9"/>
      <c r="K4163" s="9"/>
      <c r="L4163" s="9"/>
      <c r="M4163" s="9"/>
    </row>
    <row r="4164">
      <c r="J4164" s="9"/>
      <c r="K4164" s="9"/>
      <c r="L4164" s="9"/>
      <c r="M4164" s="9"/>
    </row>
    <row r="4165">
      <c r="J4165" s="9"/>
      <c r="K4165" s="9"/>
      <c r="L4165" s="9"/>
      <c r="M4165" s="9"/>
    </row>
    <row r="4166">
      <c r="J4166" s="9"/>
      <c r="K4166" s="9"/>
      <c r="L4166" s="9"/>
      <c r="M4166" s="9"/>
    </row>
    <row r="4167">
      <c r="J4167" s="9"/>
      <c r="K4167" s="9"/>
      <c r="L4167" s="9"/>
      <c r="M4167" s="9"/>
    </row>
    <row r="4168">
      <c r="J4168" s="9"/>
      <c r="K4168" s="9"/>
      <c r="L4168" s="9"/>
      <c r="M4168" s="9"/>
    </row>
    <row r="4169">
      <c r="J4169" s="9"/>
      <c r="K4169" s="9"/>
      <c r="L4169" s="9"/>
      <c r="M4169" s="9"/>
    </row>
    <row r="4170">
      <c r="J4170" s="9"/>
      <c r="K4170" s="9"/>
      <c r="L4170" s="9"/>
      <c r="M4170" s="9"/>
    </row>
    <row r="4171">
      <c r="J4171" s="9"/>
      <c r="K4171" s="9"/>
      <c r="L4171" s="9"/>
      <c r="M4171" s="9"/>
    </row>
    <row r="4172">
      <c r="J4172" s="9"/>
      <c r="K4172" s="9"/>
      <c r="L4172" s="9"/>
      <c r="M4172" s="9"/>
    </row>
    <row r="4173">
      <c r="J4173" s="9"/>
      <c r="K4173" s="9"/>
      <c r="L4173" s="9"/>
      <c r="M4173" s="9"/>
    </row>
    <row r="4174">
      <c r="J4174" s="9"/>
      <c r="K4174" s="9"/>
      <c r="L4174" s="9"/>
      <c r="M4174" s="9"/>
    </row>
    <row r="4175">
      <c r="J4175" s="9"/>
      <c r="K4175" s="9"/>
      <c r="L4175" s="9"/>
      <c r="M4175" s="9"/>
    </row>
    <row r="4176">
      <c r="J4176" s="9"/>
      <c r="K4176" s="9"/>
      <c r="L4176" s="9"/>
      <c r="M4176" s="9"/>
    </row>
    <row r="4177">
      <c r="J4177" s="9"/>
      <c r="K4177" s="9"/>
      <c r="L4177" s="9"/>
      <c r="M4177" s="9"/>
    </row>
    <row r="4178">
      <c r="J4178" s="9"/>
      <c r="K4178" s="9"/>
      <c r="L4178" s="9"/>
      <c r="M4178" s="9"/>
    </row>
    <row r="4179">
      <c r="J4179" s="9"/>
      <c r="K4179" s="9"/>
      <c r="L4179" s="9"/>
      <c r="M4179" s="9"/>
    </row>
    <row r="4180">
      <c r="J4180" s="9"/>
      <c r="K4180" s="9"/>
      <c r="L4180" s="9"/>
      <c r="M4180" s="9"/>
    </row>
    <row r="4181">
      <c r="J4181" s="9"/>
      <c r="K4181" s="9"/>
      <c r="L4181" s="9"/>
      <c r="M4181" s="9"/>
    </row>
    <row r="4182">
      <c r="J4182" s="9"/>
      <c r="K4182" s="9"/>
      <c r="L4182" s="9"/>
      <c r="M4182" s="9"/>
    </row>
    <row r="4183">
      <c r="J4183" s="9"/>
      <c r="K4183" s="9"/>
      <c r="L4183" s="9"/>
      <c r="M4183" s="9"/>
    </row>
    <row r="4184">
      <c r="J4184" s="9"/>
      <c r="K4184" s="9"/>
      <c r="L4184" s="9"/>
      <c r="M4184" s="9"/>
    </row>
    <row r="4185">
      <c r="J4185" s="9"/>
      <c r="K4185" s="9"/>
      <c r="L4185" s="9"/>
      <c r="M4185" s="9"/>
    </row>
    <row r="4186">
      <c r="J4186" s="9"/>
      <c r="K4186" s="9"/>
      <c r="L4186" s="9"/>
      <c r="M4186" s="9"/>
    </row>
    <row r="4187">
      <c r="J4187" s="9"/>
      <c r="K4187" s="9"/>
      <c r="L4187" s="9"/>
      <c r="M4187" s="9"/>
    </row>
    <row r="4188">
      <c r="J4188" s="9"/>
      <c r="K4188" s="9"/>
      <c r="L4188" s="9"/>
      <c r="M4188" s="9"/>
    </row>
    <row r="4189">
      <c r="J4189" s="9"/>
      <c r="K4189" s="9"/>
      <c r="L4189" s="9"/>
      <c r="M4189" s="9"/>
    </row>
    <row r="4190">
      <c r="J4190" s="9"/>
      <c r="K4190" s="9"/>
      <c r="L4190" s="9"/>
      <c r="M4190" s="9"/>
    </row>
    <row r="4191">
      <c r="J4191" s="9"/>
      <c r="K4191" s="9"/>
      <c r="L4191" s="9"/>
      <c r="M4191" s="9"/>
    </row>
    <row r="4192">
      <c r="J4192" s="9"/>
      <c r="K4192" s="9"/>
      <c r="L4192" s="9"/>
      <c r="M4192" s="9"/>
    </row>
    <row r="4193">
      <c r="J4193" s="9"/>
      <c r="K4193" s="9"/>
      <c r="L4193" s="9"/>
      <c r="M4193" s="9"/>
    </row>
    <row r="4194">
      <c r="J4194" s="9"/>
      <c r="K4194" s="9"/>
      <c r="L4194" s="9"/>
      <c r="M4194" s="9"/>
    </row>
    <row r="4195">
      <c r="J4195" s="9"/>
      <c r="K4195" s="9"/>
      <c r="L4195" s="9"/>
      <c r="M4195" s="9"/>
    </row>
    <row r="4196">
      <c r="J4196" s="9"/>
      <c r="K4196" s="9"/>
      <c r="L4196" s="9"/>
      <c r="M4196" s="9"/>
    </row>
    <row r="4197">
      <c r="J4197" s="9"/>
      <c r="K4197" s="9"/>
      <c r="L4197" s="9"/>
      <c r="M4197" s="9"/>
    </row>
    <row r="4198">
      <c r="J4198" s="9"/>
      <c r="K4198" s="9"/>
      <c r="L4198" s="9"/>
      <c r="M4198" s="9"/>
    </row>
    <row r="4199">
      <c r="J4199" s="9"/>
      <c r="K4199" s="9"/>
      <c r="L4199" s="9"/>
      <c r="M4199" s="9"/>
    </row>
    <row r="4200">
      <c r="J4200" s="9"/>
      <c r="K4200" s="9"/>
      <c r="L4200" s="9"/>
      <c r="M4200" s="9"/>
    </row>
    <row r="4201">
      <c r="J4201" s="9"/>
      <c r="K4201" s="9"/>
      <c r="L4201" s="9"/>
      <c r="M4201" s="9"/>
    </row>
    <row r="4202">
      <c r="J4202" s="9"/>
      <c r="K4202" s="9"/>
      <c r="L4202" s="9"/>
      <c r="M4202" s="9"/>
    </row>
    <row r="4203">
      <c r="J4203" s="9"/>
      <c r="K4203" s="9"/>
      <c r="L4203" s="9"/>
      <c r="M4203" s="9"/>
    </row>
    <row r="4204">
      <c r="J4204" s="9"/>
      <c r="K4204" s="9"/>
      <c r="L4204" s="9"/>
      <c r="M4204" s="9"/>
    </row>
    <row r="4205">
      <c r="J4205" s="9"/>
      <c r="K4205" s="9"/>
      <c r="L4205" s="9"/>
      <c r="M4205" s="9"/>
    </row>
    <row r="4206">
      <c r="J4206" s="9"/>
      <c r="K4206" s="9"/>
      <c r="L4206" s="9"/>
      <c r="M4206" s="9"/>
    </row>
    <row r="4207">
      <c r="J4207" s="9"/>
      <c r="K4207" s="9"/>
      <c r="L4207" s="9"/>
      <c r="M4207" s="9"/>
    </row>
    <row r="4208">
      <c r="J4208" s="9"/>
      <c r="K4208" s="9"/>
      <c r="L4208" s="9"/>
      <c r="M4208" s="9"/>
    </row>
    <row r="4209">
      <c r="J4209" s="9"/>
      <c r="K4209" s="9"/>
      <c r="L4209" s="9"/>
      <c r="M4209" s="9"/>
    </row>
    <row r="4210">
      <c r="J4210" s="9"/>
      <c r="K4210" s="9"/>
      <c r="L4210" s="9"/>
      <c r="M4210" s="9"/>
    </row>
    <row r="4211">
      <c r="J4211" s="9"/>
      <c r="K4211" s="9"/>
      <c r="L4211" s="9"/>
      <c r="M4211" s="9"/>
    </row>
    <row r="4212">
      <c r="J4212" s="9"/>
      <c r="K4212" s="9"/>
      <c r="L4212" s="9"/>
      <c r="M4212" s="9"/>
    </row>
    <row r="4213">
      <c r="J4213" s="9"/>
      <c r="K4213" s="9"/>
      <c r="L4213" s="9"/>
      <c r="M4213" s="9"/>
    </row>
    <row r="4214">
      <c r="J4214" s="9"/>
      <c r="K4214" s="9"/>
      <c r="L4214" s="9"/>
      <c r="M4214" s="9"/>
    </row>
    <row r="4215">
      <c r="J4215" s="9"/>
      <c r="K4215" s="9"/>
      <c r="L4215" s="9"/>
      <c r="M4215" s="9"/>
    </row>
    <row r="4216">
      <c r="J4216" s="9"/>
      <c r="K4216" s="9"/>
      <c r="L4216" s="9"/>
      <c r="M4216" s="9"/>
    </row>
    <row r="4217">
      <c r="J4217" s="9"/>
      <c r="K4217" s="9"/>
      <c r="L4217" s="9"/>
      <c r="M4217" s="9"/>
    </row>
    <row r="4218">
      <c r="J4218" s="9"/>
      <c r="K4218" s="9"/>
      <c r="L4218" s="9"/>
      <c r="M4218" s="9"/>
    </row>
    <row r="4219">
      <c r="J4219" s="9"/>
      <c r="K4219" s="9"/>
      <c r="L4219" s="9"/>
      <c r="M4219" s="9"/>
    </row>
    <row r="4220">
      <c r="J4220" s="9"/>
      <c r="K4220" s="9"/>
      <c r="L4220" s="9"/>
      <c r="M4220" s="9"/>
    </row>
    <row r="4221">
      <c r="J4221" s="9"/>
      <c r="K4221" s="9"/>
      <c r="L4221" s="9"/>
      <c r="M4221" s="9"/>
    </row>
    <row r="4222">
      <c r="J4222" s="9"/>
      <c r="K4222" s="9"/>
      <c r="L4222" s="9"/>
      <c r="M4222" s="9"/>
    </row>
    <row r="4223">
      <c r="J4223" s="9"/>
      <c r="K4223" s="9"/>
      <c r="L4223" s="9"/>
      <c r="M4223" s="9"/>
    </row>
    <row r="4224">
      <c r="J4224" s="9"/>
      <c r="K4224" s="9"/>
      <c r="L4224" s="9"/>
      <c r="M4224" s="9"/>
    </row>
    <row r="4225">
      <c r="J4225" s="9"/>
      <c r="K4225" s="9"/>
      <c r="L4225" s="9"/>
      <c r="M4225" s="9"/>
    </row>
    <row r="4226">
      <c r="J4226" s="9"/>
      <c r="K4226" s="9"/>
      <c r="L4226" s="9"/>
      <c r="M4226" s="9"/>
    </row>
    <row r="4227">
      <c r="J4227" s="9"/>
      <c r="K4227" s="9"/>
      <c r="L4227" s="9"/>
      <c r="M4227" s="9"/>
    </row>
    <row r="4228">
      <c r="J4228" s="9"/>
      <c r="K4228" s="9"/>
      <c r="L4228" s="9"/>
      <c r="M4228" s="9"/>
    </row>
    <row r="4229">
      <c r="J4229" s="9"/>
      <c r="K4229" s="9"/>
      <c r="L4229" s="9"/>
      <c r="M4229" s="9"/>
    </row>
    <row r="4230">
      <c r="J4230" s="9"/>
      <c r="K4230" s="9"/>
      <c r="L4230" s="9"/>
      <c r="M4230" s="9"/>
    </row>
    <row r="4231">
      <c r="J4231" s="9"/>
      <c r="K4231" s="9"/>
      <c r="L4231" s="9"/>
      <c r="M4231" s="9"/>
    </row>
    <row r="4232">
      <c r="J4232" s="9"/>
      <c r="K4232" s="9"/>
      <c r="L4232" s="9"/>
      <c r="M4232" s="9"/>
    </row>
    <row r="4233">
      <c r="J4233" s="9"/>
      <c r="K4233" s="9"/>
      <c r="L4233" s="9"/>
      <c r="M4233" s="9"/>
    </row>
    <row r="4234">
      <c r="J4234" s="9"/>
      <c r="K4234" s="9"/>
      <c r="L4234" s="9"/>
      <c r="M4234" s="9"/>
    </row>
    <row r="4235">
      <c r="J4235" s="9"/>
      <c r="K4235" s="9"/>
      <c r="L4235" s="9"/>
      <c r="M4235" s="9"/>
    </row>
    <row r="4236">
      <c r="J4236" s="9"/>
      <c r="K4236" s="9"/>
      <c r="L4236" s="9"/>
      <c r="M4236" s="9"/>
    </row>
    <row r="4237">
      <c r="J4237" s="9"/>
      <c r="K4237" s="9"/>
      <c r="L4237" s="9"/>
      <c r="M4237" s="9"/>
    </row>
    <row r="4238">
      <c r="J4238" s="9"/>
      <c r="K4238" s="9"/>
      <c r="L4238" s="9"/>
      <c r="M4238" s="9"/>
    </row>
    <row r="4239">
      <c r="J4239" s="9"/>
      <c r="K4239" s="9"/>
      <c r="L4239" s="9"/>
      <c r="M4239" s="9"/>
    </row>
    <row r="4240">
      <c r="J4240" s="9"/>
      <c r="K4240" s="9"/>
      <c r="L4240" s="9"/>
      <c r="M4240" s="9"/>
    </row>
    <row r="4241">
      <c r="J4241" s="9"/>
      <c r="K4241" s="9"/>
      <c r="L4241" s="9"/>
      <c r="M4241" s="9"/>
    </row>
    <row r="4242">
      <c r="J4242" s="9"/>
      <c r="K4242" s="9"/>
      <c r="L4242" s="9"/>
      <c r="M4242" s="9"/>
    </row>
    <row r="4243">
      <c r="J4243" s="9"/>
      <c r="K4243" s="9"/>
      <c r="L4243" s="9"/>
      <c r="M4243" s="9"/>
    </row>
    <row r="4244">
      <c r="J4244" s="9"/>
      <c r="K4244" s="9"/>
      <c r="L4244" s="9"/>
      <c r="M4244" s="9"/>
    </row>
    <row r="4245">
      <c r="J4245" s="9"/>
      <c r="K4245" s="9"/>
      <c r="L4245" s="9"/>
      <c r="M4245" s="9"/>
    </row>
    <row r="4246">
      <c r="J4246" s="9"/>
      <c r="K4246" s="9"/>
      <c r="L4246" s="9"/>
      <c r="M4246" s="9"/>
    </row>
    <row r="4247">
      <c r="J4247" s="9"/>
      <c r="K4247" s="9"/>
      <c r="L4247" s="9"/>
      <c r="M4247" s="9"/>
    </row>
    <row r="4248">
      <c r="J4248" s="9"/>
      <c r="K4248" s="9"/>
      <c r="L4248" s="9"/>
      <c r="M4248" s="9"/>
    </row>
    <row r="4249">
      <c r="J4249" s="9"/>
      <c r="K4249" s="9"/>
      <c r="L4249" s="9"/>
      <c r="M4249" s="9"/>
    </row>
    <row r="4250">
      <c r="J4250" s="9"/>
      <c r="K4250" s="9"/>
      <c r="L4250" s="9"/>
      <c r="M4250" s="9"/>
    </row>
    <row r="4251">
      <c r="J4251" s="9"/>
      <c r="K4251" s="9"/>
      <c r="L4251" s="9"/>
      <c r="M4251" s="9"/>
    </row>
    <row r="4252">
      <c r="J4252" s="9"/>
      <c r="K4252" s="9"/>
      <c r="L4252" s="9"/>
      <c r="M4252" s="9"/>
    </row>
    <row r="4253">
      <c r="J4253" s="9"/>
      <c r="K4253" s="9"/>
      <c r="L4253" s="9"/>
      <c r="M4253" s="9"/>
    </row>
    <row r="4254">
      <c r="J4254" s="9"/>
      <c r="K4254" s="9"/>
      <c r="L4254" s="9"/>
      <c r="M4254" s="9"/>
    </row>
    <row r="4255">
      <c r="J4255" s="9"/>
      <c r="K4255" s="9"/>
      <c r="L4255" s="9"/>
      <c r="M4255" s="9"/>
    </row>
    <row r="4256">
      <c r="J4256" s="9"/>
      <c r="K4256" s="9"/>
      <c r="L4256" s="9"/>
      <c r="M4256" s="9"/>
    </row>
    <row r="4257">
      <c r="J4257" s="9"/>
      <c r="K4257" s="9"/>
      <c r="L4257" s="9"/>
      <c r="M4257" s="9"/>
    </row>
    <row r="4258">
      <c r="J4258" s="9"/>
      <c r="K4258" s="9"/>
      <c r="L4258" s="9"/>
      <c r="M4258" s="9"/>
    </row>
    <row r="4259">
      <c r="J4259" s="9"/>
      <c r="K4259" s="9"/>
      <c r="L4259" s="9"/>
      <c r="M4259" s="9"/>
    </row>
    <row r="4260">
      <c r="J4260" s="9"/>
      <c r="K4260" s="9"/>
      <c r="L4260" s="9"/>
      <c r="M4260" s="9"/>
    </row>
    <row r="4261">
      <c r="J4261" s="9"/>
      <c r="K4261" s="9"/>
      <c r="L4261" s="9"/>
      <c r="M4261" s="9"/>
    </row>
    <row r="4262">
      <c r="J4262" s="9"/>
      <c r="K4262" s="9"/>
      <c r="L4262" s="9"/>
      <c r="M4262" s="9"/>
    </row>
    <row r="4263">
      <c r="J4263" s="9"/>
      <c r="K4263" s="9"/>
      <c r="L4263" s="9"/>
      <c r="M4263" s="9"/>
    </row>
    <row r="4264">
      <c r="J4264" s="9"/>
      <c r="K4264" s="9"/>
      <c r="L4264" s="9"/>
      <c r="M4264" s="9"/>
    </row>
    <row r="4265">
      <c r="J4265" s="9"/>
      <c r="K4265" s="9"/>
      <c r="L4265" s="9"/>
      <c r="M4265" s="9"/>
    </row>
    <row r="4266">
      <c r="J4266" s="9"/>
      <c r="K4266" s="9"/>
      <c r="L4266" s="9"/>
      <c r="M4266" s="9"/>
    </row>
    <row r="4267">
      <c r="J4267" s="9"/>
      <c r="K4267" s="9"/>
      <c r="L4267" s="9"/>
      <c r="M4267" s="9"/>
    </row>
    <row r="4268">
      <c r="J4268" s="9"/>
      <c r="K4268" s="9"/>
      <c r="L4268" s="9"/>
      <c r="M4268" s="9"/>
    </row>
    <row r="4269">
      <c r="J4269" s="9"/>
      <c r="K4269" s="9"/>
      <c r="L4269" s="9"/>
      <c r="M4269" s="9"/>
    </row>
    <row r="4270">
      <c r="J4270" s="9"/>
      <c r="K4270" s="9"/>
      <c r="L4270" s="9"/>
      <c r="M4270" s="9"/>
    </row>
    <row r="4271">
      <c r="J4271" s="9"/>
      <c r="K4271" s="9"/>
      <c r="L4271" s="9"/>
      <c r="M4271" s="9"/>
    </row>
    <row r="4272">
      <c r="J4272" s="9"/>
      <c r="K4272" s="9"/>
      <c r="L4272" s="9"/>
      <c r="M4272" s="9"/>
    </row>
    <row r="4273">
      <c r="J4273" s="9"/>
      <c r="K4273" s="9"/>
      <c r="L4273" s="9"/>
      <c r="M4273" s="9"/>
    </row>
    <row r="4274">
      <c r="J4274" s="9"/>
      <c r="K4274" s="9"/>
      <c r="L4274" s="9"/>
      <c r="M4274" s="9"/>
    </row>
    <row r="4275">
      <c r="J4275" s="9"/>
      <c r="K4275" s="9"/>
      <c r="L4275" s="9"/>
      <c r="M4275" s="9"/>
    </row>
    <row r="4276">
      <c r="J4276" s="9"/>
      <c r="K4276" s="9"/>
      <c r="L4276" s="9"/>
      <c r="M4276" s="9"/>
    </row>
    <row r="4277">
      <c r="J4277" s="9"/>
      <c r="K4277" s="9"/>
      <c r="L4277" s="9"/>
      <c r="M4277" s="9"/>
    </row>
    <row r="4278">
      <c r="J4278" s="9"/>
      <c r="K4278" s="9"/>
      <c r="L4278" s="9"/>
      <c r="M4278" s="9"/>
    </row>
    <row r="4279">
      <c r="J4279" s="9"/>
      <c r="K4279" s="9"/>
      <c r="L4279" s="9"/>
      <c r="M4279" s="9"/>
    </row>
    <row r="4280">
      <c r="J4280" s="9"/>
      <c r="K4280" s="9"/>
      <c r="L4280" s="9"/>
      <c r="M4280" s="9"/>
    </row>
    <row r="4281">
      <c r="J4281" s="9"/>
      <c r="K4281" s="9"/>
      <c r="L4281" s="9"/>
      <c r="M4281" s="9"/>
    </row>
    <row r="4282">
      <c r="J4282" s="9"/>
      <c r="K4282" s="9"/>
      <c r="L4282" s="9"/>
      <c r="M4282" s="9"/>
    </row>
    <row r="4283">
      <c r="J4283" s="9"/>
      <c r="K4283" s="9"/>
      <c r="L4283" s="9"/>
      <c r="M4283" s="9"/>
    </row>
    <row r="4284">
      <c r="J4284" s="9"/>
      <c r="K4284" s="9"/>
      <c r="L4284" s="9"/>
      <c r="M4284" s="9"/>
    </row>
    <row r="4285">
      <c r="J4285" s="9"/>
      <c r="K4285" s="9"/>
      <c r="L4285" s="9"/>
      <c r="M4285" s="9"/>
    </row>
    <row r="4286">
      <c r="J4286" s="9"/>
      <c r="K4286" s="9"/>
      <c r="L4286" s="9"/>
      <c r="M4286" s="9"/>
    </row>
    <row r="4287">
      <c r="J4287" s="9"/>
      <c r="K4287" s="9"/>
      <c r="L4287" s="9"/>
      <c r="M4287" s="9"/>
    </row>
    <row r="4288">
      <c r="J4288" s="9"/>
      <c r="K4288" s="9"/>
      <c r="L4288" s="9"/>
      <c r="M4288" s="9"/>
    </row>
    <row r="4289">
      <c r="J4289" s="9"/>
      <c r="K4289" s="9"/>
      <c r="L4289" s="9"/>
      <c r="M4289" s="9"/>
    </row>
    <row r="4290">
      <c r="J4290" s="9"/>
      <c r="K4290" s="9"/>
      <c r="L4290" s="9"/>
      <c r="M4290" s="9"/>
    </row>
    <row r="4291">
      <c r="J4291" s="9"/>
      <c r="K4291" s="9"/>
      <c r="L4291" s="9"/>
      <c r="M4291" s="9"/>
    </row>
    <row r="4292">
      <c r="J4292" s="9"/>
      <c r="K4292" s="9"/>
      <c r="L4292" s="9"/>
      <c r="M4292" s="9"/>
    </row>
    <row r="4293">
      <c r="J4293" s="9"/>
      <c r="K4293" s="9"/>
      <c r="L4293" s="9"/>
      <c r="M4293" s="9"/>
    </row>
    <row r="4294">
      <c r="J4294" s="9"/>
      <c r="K4294" s="9"/>
      <c r="L4294" s="9"/>
      <c r="M4294" s="9"/>
    </row>
    <row r="4295">
      <c r="J4295" s="9"/>
      <c r="K4295" s="9"/>
      <c r="L4295" s="9"/>
      <c r="M4295" s="9"/>
    </row>
    <row r="4296">
      <c r="J4296" s="9"/>
      <c r="K4296" s="9"/>
      <c r="L4296" s="9"/>
      <c r="M4296" s="9"/>
    </row>
    <row r="4297">
      <c r="J4297" s="9"/>
      <c r="K4297" s="9"/>
      <c r="L4297" s="9"/>
      <c r="M4297" s="9"/>
    </row>
    <row r="4298">
      <c r="J4298" s="9"/>
      <c r="K4298" s="9"/>
      <c r="L4298" s="9"/>
      <c r="M4298" s="9"/>
    </row>
    <row r="4299">
      <c r="J4299" s="9"/>
      <c r="K4299" s="9"/>
      <c r="L4299" s="9"/>
      <c r="M4299" s="9"/>
    </row>
    <row r="4300">
      <c r="J4300" s="9"/>
      <c r="K4300" s="9"/>
      <c r="L4300" s="9"/>
      <c r="M4300" s="9"/>
    </row>
    <row r="4301">
      <c r="J4301" s="9"/>
      <c r="K4301" s="9"/>
      <c r="L4301" s="9"/>
      <c r="M4301" s="9"/>
    </row>
    <row r="4302">
      <c r="J4302" s="9"/>
      <c r="K4302" s="9"/>
      <c r="L4302" s="9"/>
      <c r="M4302" s="9"/>
    </row>
    <row r="4303">
      <c r="J4303" s="9"/>
      <c r="K4303" s="9"/>
      <c r="L4303" s="9"/>
      <c r="M4303" s="9"/>
    </row>
    <row r="4304">
      <c r="J4304" s="9"/>
      <c r="K4304" s="9"/>
      <c r="L4304" s="9"/>
      <c r="M4304" s="9"/>
    </row>
    <row r="4305">
      <c r="J4305" s="9"/>
      <c r="K4305" s="9"/>
      <c r="L4305" s="9"/>
      <c r="M4305" s="9"/>
    </row>
    <row r="4306">
      <c r="J4306" s="9"/>
      <c r="K4306" s="9"/>
      <c r="L4306" s="9"/>
      <c r="M4306" s="9"/>
    </row>
    <row r="4307">
      <c r="J4307" s="9"/>
      <c r="K4307" s="9"/>
      <c r="L4307" s="9"/>
      <c r="M4307" s="9"/>
    </row>
    <row r="4308">
      <c r="J4308" s="9"/>
      <c r="K4308" s="9"/>
      <c r="L4308" s="9"/>
      <c r="M4308" s="9"/>
    </row>
    <row r="4309">
      <c r="J4309" s="9"/>
      <c r="K4309" s="9"/>
      <c r="L4309" s="9"/>
      <c r="M4309" s="9"/>
    </row>
    <row r="4310">
      <c r="J4310" s="9"/>
      <c r="K4310" s="9"/>
      <c r="L4310" s="9"/>
      <c r="M4310" s="9"/>
    </row>
    <row r="4311">
      <c r="J4311" s="9"/>
      <c r="K4311" s="9"/>
      <c r="L4311" s="9"/>
      <c r="M4311" s="9"/>
    </row>
    <row r="4312">
      <c r="J4312" s="9"/>
      <c r="K4312" s="9"/>
      <c r="L4312" s="9"/>
      <c r="M4312" s="9"/>
    </row>
    <row r="4313">
      <c r="J4313" s="9"/>
      <c r="K4313" s="9"/>
      <c r="L4313" s="9"/>
      <c r="M4313" s="9"/>
    </row>
    <row r="4314">
      <c r="J4314" s="9"/>
      <c r="K4314" s="9"/>
      <c r="L4314" s="9"/>
      <c r="M4314" s="9"/>
    </row>
    <row r="4315">
      <c r="J4315" s="9"/>
      <c r="K4315" s="9"/>
      <c r="L4315" s="9"/>
      <c r="M4315" s="9"/>
    </row>
    <row r="4316">
      <c r="J4316" s="9"/>
      <c r="K4316" s="9"/>
      <c r="L4316" s="9"/>
      <c r="M4316" s="9"/>
    </row>
    <row r="4317">
      <c r="J4317" s="9"/>
      <c r="K4317" s="9"/>
      <c r="L4317" s="9"/>
      <c r="M4317" s="9"/>
    </row>
    <row r="4318">
      <c r="J4318" s="9"/>
      <c r="K4318" s="9"/>
      <c r="L4318" s="9"/>
      <c r="M4318" s="9"/>
    </row>
    <row r="4319">
      <c r="J4319" s="9"/>
      <c r="K4319" s="9"/>
      <c r="L4319" s="9"/>
      <c r="M4319" s="9"/>
    </row>
    <row r="4320">
      <c r="J4320" s="9"/>
      <c r="K4320" s="9"/>
      <c r="L4320" s="9"/>
      <c r="M4320" s="9"/>
    </row>
    <row r="4321">
      <c r="J4321" s="9"/>
      <c r="K4321" s="9"/>
      <c r="L4321" s="9"/>
      <c r="M4321" s="9"/>
    </row>
    <row r="4322">
      <c r="J4322" s="9"/>
      <c r="K4322" s="9"/>
      <c r="L4322" s="9"/>
      <c r="M4322" s="9"/>
    </row>
    <row r="4323">
      <c r="J4323" s="9"/>
      <c r="K4323" s="9"/>
      <c r="L4323" s="9"/>
      <c r="M4323" s="9"/>
    </row>
    <row r="4324">
      <c r="J4324" s="9"/>
      <c r="K4324" s="9"/>
      <c r="L4324" s="9"/>
      <c r="M4324" s="9"/>
    </row>
    <row r="4325">
      <c r="J4325" s="9"/>
      <c r="K4325" s="9"/>
      <c r="L4325" s="9"/>
      <c r="M4325" s="9"/>
    </row>
    <row r="4326">
      <c r="J4326" s="9"/>
      <c r="K4326" s="9"/>
      <c r="L4326" s="9"/>
      <c r="M4326" s="9"/>
    </row>
    <row r="4327">
      <c r="J4327" s="9"/>
      <c r="K4327" s="9"/>
      <c r="L4327" s="9"/>
      <c r="M4327" s="9"/>
    </row>
    <row r="4328">
      <c r="J4328" s="9"/>
      <c r="K4328" s="9"/>
      <c r="L4328" s="9"/>
      <c r="M4328" s="9"/>
    </row>
    <row r="4329">
      <c r="J4329" s="9"/>
      <c r="K4329" s="9"/>
      <c r="L4329" s="9"/>
      <c r="M4329" s="9"/>
    </row>
    <row r="4330">
      <c r="J4330" s="9"/>
      <c r="K4330" s="9"/>
      <c r="L4330" s="9"/>
      <c r="M4330" s="9"/>
    </row>
    <row r="4331">
      <c r="J4331" s="9"/>
      <c r="K4331" s="9"/>
      <c r="L4331" s="9"/>
      <c r="M4331" s="9"/>
    </row>
    <row r="4332">
      <c r="J4332" s="9"/>
      <c r="K4332" s="9"/>
      <c r="L4332" s="9"/>
      <c r="M4332" s="9"/>
    </row>
    <row r="4333">
      <c r="J4333" s="9"/>
      <c r="K4333" s="9"/>
      <c r="L4333" s="9"/>
      <c r="M4333" s="9"/>
    </row>
    <row r="4334">
      <c r="J4334" s="9"/>
      <c r="K4334" s="9"/>
      <c r="L4334" s="9"/>
      <c r="M4334" s="9"/>
    </row>
    <row r="4335">
      <c r="J4335" s="9"/>
      <c r="K4335" s="9"/>
      <c r="L4335" s="9"/>
      <c r="M4335" s="9"/>
    </row>
    <row r="4336">
      <c r="J4336" s="9"/>
      <c r="K4336" s="9"/>
      <c r="L4336" s="9"/>
      <c r="M4336" s="9"/>
    </row>
    <row r="4337">
      <c r="J4337" s="9"/>
      <c r="K4337" s="9"/>
      <c r="L4337" s="9"/>
      <c r="M4337" s="9"/>
    </row>
    <row r="4338">
      <c r="J4338" s="9"/>
      <c r="K4338" s="9"/>
      <c r="L4338" s="9"/>
      <c r="M4338" s="9"/>
    </row>
    <row r="4339">
      <c r="J4339" s="9"/>
      <c r="K4339" s="9"/>
      <c r="L4339" s="9"/>
      <c r="M4339" s="9"/>
    </row>
    <row r="4340">
      <c r="J4340" s="9"/>
      <c r="K4340" s="9"/>
      <c r="L4340" s="9"/>
      <c r="M4340" s="9"/>
    </row>
    <row r="4341">
      <c r="J4341" s="9"/>
      <c r="K4341" s="9"/>
      <c r="L4341" s="9"/>
      <c r="M4341" s="9"/>
    </row>
    <row r="4342">
      <c r="J4342" s="9"/>
      <c r="K4342" s="9"/>
      <c r="L4342" s="9"/>
      <c r="M4342" s="9"/>
    </row>
    <row r="4343">
      <c r="J4343" s="9"/>
      <c r="K4343" s="9"/>
      <c r="L4343" s="9"/>
      <c r="M4343" s="9"/>
    </row>
    <row r="4344">
      <c r="J4344" s="9"/>
      <c r="K4344" s="9"/>
      <c r="L4344" s="9"/>
      <c r="M4344" s="9"/>
    </row>
    <row r="4345">
      <c r="J4345" s="9"/>
      <c r="K4345" s="9"/>
      <c r="L4345" s="9"/>
      <c r="M4345" s="9"/>
    </row>
    <row r="4346">
      <c r="J4346" s="9"/>
      <c r="K4346" s="9"/>
      <c r="L4346" s="9"/>
      <c r="M4346" s="9"/>
    </row>
    <row r="4347">
      <c r="J4347" s="9"/>
      <c r="K4347" s="9"/>
      <c r="L4347" s="9"/>
      <c r="M4347" s="9"/>
    </row>
    <row r="4348">
      <c r="J4348" s="9"/>
      <c r="K4348" s="9"/>
      <c r="L4348" s="9"/>
      <c r="M4348" s="9"/>
    </row>
    <row r="4349">
      <c r="J4349" s="9"/>
      <c r="K4349" s="9"/>
      <c r="L4349" s="9"/>
      <c r="M4349" s="9"/>
    </row>
    <row r="4350">
      <c r="J4350" s="9"/>
      <c r="K4350" s="9"/>
      <c r="L4350" s="9"/>
      <c r="M4350" s="9"/>
    </row>
    <row r="4351">
      <c r="J4351" s="9"/>
      <c r="K4351" s="9"/>
      <c r="L4351" s="9"/>
      <c r="M4351" s="9"/>
    </row>
    <row r="4352">
      <c r="J4352" s="9"/>
      <c r="K4352" s="9"/>
      <c r="L4352" s="9"/>
      <c r="M4352" s="9"/>
    </row>
    <row r="4353">
      <c r="J4353" s="9"/>
      <c r="K4353" s="9"/>
      <c r="L4353" s="9"/>
      <c r="M4353" s="9"/>
    </row>
    <row r="4354">
      <c r="J4354" s="9"/>
      <c r="K4354" s="9"/>
      <c r="L4354" s="9"/>
      <c r="M4354" s="9"/>
    </row>
    <row r="4355">
      <c r="J4355" s="9"/>
      <c r="K4355" s="9"/>
      <c r="L4355" s="9"/>
      <c r="M4355" s="9"/>
    </row>
    <row r="4356">
      <c r="J4356" s="9"/>
      <c r="K4356" s="9"/>
      <c r="L4356" s="9"/>
      <c r="M4356" s="9"/>
    </row>
    <row r="4357">
      <c r="J4357" s="9"/>
      <c r="K4357" s="9"/>
      <c r="L4357" s="9"/>
      <c r="M4357" s="9"/>
    </row>
    <row r="4358">
      <c r="J4358" s="9"/>
      <c r="K4358" s="9"/>
      <c r="L4358" s="9"/>
      <c r="M4358" s="9"/>
    </row>
    <row r="4359">
      <c r="J4359" s="9"/>
      <c r="K4359" s="9"/>
      <c r="L4359" s="9"/>
      <c r="M4359" s="9"/>
    </row>
    <row r="4360">
      <c r="J4360" s="9"/>
      <c r="K4360" s="9"/>
      <c r="L4360" s="9"/>
      <c r="M4360" s="9"/>
    </row>
    <row r="4361">
      <c r="J4361" s="9"/>
      <c r="K4361" s="9"/>
      <c r="L4361" s="9"/>
      <c r="M4361" s="9"/>
    </row>
    <row r="4362">
      <c r="J4362" s="9"/>
      <c r="K4362" s="9"/>
      <c r="L4362" s="9"/>
      <c r="M4362" s="9"/>
    </row>
    <row r="4363">
      <c r="J4363" s="9"/>
      <c r="K4363" s="9"/>
      <c r="L4363" s="9"/>
      <c r="M4363" s="9"/>
    </row>
    <row r="4364">
      <c r="J4364" s="9"/>
      <c r="K4364" s="9"/>
      <c r="L4364" s="9"/>
      <c r="M4364" s="9"/>
    </row>
    <row r="4365">
      <c r="J4365" s="9"/>
      <c r="K4365" s="9"/>
      <c r="L4365" s="9"/>
      <c r="M4365" s="9"/>
    </row>
    <row r="4366">
      <c r="J4366" s="9"/>
      <c r="K4366" s="9"/>
      <c r="L4366" s="9"/>
      <c r="M4366" s="9"/>
    </row>
    <row r="4367">
      <c r="J4367" s="9"/>
      <c r="K4367" s="9"/>
      <c r="L4367" s="9"/>
      <c r="M4367" s="9"/>
    </row>
    <row r="4368">
      <c r="J4368" s="9"/>
      <c r="K4368" s="9"/>
      <c r="L4368" s="9"/>
      <c r="M4368" s="9"/>
    </row>
    <row r="4369">
      <c r="J4369" s="9"/>
      <c r="K4369" s="9"/>
      <c r="L4369" s="9"/>
      <c r="M4369" s="9"/>
    </row>
    <row r="4370">
      <c r="J4370" s="9"/>
      <c r="K4370" s="9"/>
      <c r="L4370" s="9"/>
      <c r="M4370" s="9"/>
    </row>
    <row r="4371">
      <c r="J4371" s="9"/>
      <c r="K4371" s="9"/>
      <c r="L4371" s="9"/>
      <c r="M4371" s="9"/>
    </row>
    <row r="4372">
      <c r="J4372" s="9"/>
      <c r="K4372" s="9"/>
      <c r="L4372" s="9"/>
      <c r="M4372" s="9"/>
    </row>
    <row r="4373">
      <c r="J4373" s="9"/>
      <c r="K4373" s="9"/>
      <c r="L4373" s="9"/>
      <c r="M4373" s="9"/>
    </row>
    <row r="4374">
      <c r="J4374" s="9"/>
      <c r="K4374" s="9"/>
      <c r="L4374" s="9"/>
      <c r="M4374" s="9"/>
    </row>
    <row r="4375">
      <c r="J4375" s="9"/>
      <c r="K4375" s="9"/>
      <c r="L4375" s="9"/>
      <c r="M4375" s="9"/>
    </row>
    <row r="4376">
      <c r="J4376" s="9"/>
      <c r="K4376" s="9"/>
      <c r="L4376" s="9"/>
      <c r="M4376" s="9"/>
    </row>
    <row r="4377">
      <c r="J4377" s="9"/>
      <c r="K4377" s="9"/>
      <c r="L4377" s="9"/>
      <c r="M4377" s="9"/>
    </row>
    <row r="4378">
      <c r="J4378" s="9"/>
      <c r="K4378" s="9"/>
      <c r="L4378" s="9"/>
      <c r="M4378" s="9"/>
    </row>
    <row r="4379">
      <c r="J4379" s="9"/>
      <c r="K4379" s="9"/>
      <c r="L4379" s="9"/>
      <c r="M4379" s="9"/>
    </row>
    <row r="4380">
      <c r="J4380" s="9"/>
      <c r="K4380" s="9"/>
      <c r="L4380" s="9"/>
      <c r="M4380" s="9"/>
    </row>
    <row r="4381">
      <c r="J4381" s="9"/>
      <c r="K4381" s="9"/>
      <c r="L4381" s="9"/>
      <c r="M4381" s="9"/>
    </row>
    <row r="4382">
      <c r="J4382" s="9"/>
      <c r="K4382" s="9"/>
      <c r="L4382" s="9"/>
      <c r="M4382" s="9"/>
    </row>
    <row r="4383">
      <c r="J4383" s="9"/>
      <c r="K4383" s="9"/>
      <c r="L4383" s="9"/>
      <c r="M4383" s="9"/>
    </row>
    <row r="4384">
      <c r="J4384" s="9"/>
      <c r="K4384" s="9"/>
      <c r="L4384" s="9"/>
      <c r="M4384" s="9"/>
    </row>
    <row r="4385">
      <c r="J4385" s="9"/>
      <c r="K4385" s="9"/>
      <c r="L4385" s="9"/>
      <c r="M4385" s="9"/>
    </row>
    <row r="4386">
      <c r="J4386" s="9"/>
      <c r="K4386" s="9"/>
      <c r="L4386" s="9"/>
      <c r="M4386" s="9"/>
    </row>
    <row r="4387">
      <c r="J4387" s="9"/>
      <c r="K4387" s="9"/>
      <c r="L4387" s="9"/>
      <c r="M4387" s="9"/>
    </row>
    <row r="4388">
      <c r="J4388" s="9"/>
      <c r="K4388" s="9"/>
      <c r="L4388" s="9"/>
      <c r="M4388" s="9"/>
    </row>
    <row r="4389">
      <c r="J4389" s="9"/>
      <c r="K4389" s="9"/>
      <c r="L4389" s="9"/>
      <c r="M4389" s="9"/>
    </row>
    <row r="4390">
      <c r="J4390" s="9"/>
      <c r="K4390" s="9"/>
      <c r="L4390" s="9"/>
      <c r="M4390" s="9"/>
    </row>
    <row r="4391">
      <c r="J4391" s="9"/>
      <c r="K4391" s="9"/>
      <c r="L4391" s="9"/>
      <c r="M4391" s="9"/>
    </row>
    <row r="4392">
      <c r="J4392" s="9"/>
      <c r="K4392" s="9"/>
      <c r="L4392" s="9"/>
      <c r="M4392" s="9"/>
    </row>
    <row r="4393">
      <c r="J4393" s="9"/>
      <c r="K4393" s="9"/>
      <c r="L4393" s="9"/>
      <c r="M4393" s="9"/>
    </row>
    <row r="4394">
      <c r="J4394" s="9"/>
      <c r="K4394" s="9"/>
      <c r="L4394" s="9"/>
      <c r="M4394" s="9"/>
    </row>
    <row r="4395">
      <c r="J4395" s="9"/>
      <c r="K4395" s="9"/>
      <c r="L4395" s="9"/>
      <c r="M4395" s="9"/>
    </row>
    <row r="4396">
      <c r="J4396" s="9"/>
      <c r="K4396" s="9"/>
      <c r="L4396" s="9"/>
      <c r="M4396" s="9"/>
    </row>
    <row r="4397">
      <c r="J4397" s="9"/>
      <c r="K4397" s="9"/>
      <c r="L4397" s="9"/>
      <c r="M4397" s="9"/>
    </row>
    <row r="4398">
      <c r="J4398" s="9"/>
      <c r="K4398" s="9"/>
      <c r="L4398" s="9"/>
      <c r="M4398" s="9"/>
    </row>
    <row r="4399">
      <c r="J4399" s="9"/>
      <c r="K4399" s="9"/>
      <c r="L4399" s="9"/>
      <c r="M4399" s="9"/>
    </row>
    <row r="4400">
      <c r="J4400" s="9"/>
      <c r="K4400" s="9"/>
      <c r="L4400" s="9"/>
      <c r="M4400" s="9"/>
    </row>
    <row r="4401">
      <c r="J4401" s="9"/>
      <c r="K4401" s="9"/>
      <c r="L4401" s="9"/>
      <c r="M4401" s="9"/>
    </row>
    <row r="4402">
      <c r="J4402" s="9"/>
      <c r="K4402" s="9"/>
      <c r="L4402" s="9"/>
      <c r="M4402" s="9"/>
    </row>
    <row r="4403">
      <c r="J4403" s="9"/>
      <c r="K4403" s="9"/>
      <c r="L4403" s="9"/>
      <c r="M4403" s="9"/>
    </row>
    <row r="4404">
      <c r="J4404" s="9"/>
      <c r="K4404" s="9"/>
      <c r="L4404" s="9"/>
      <c r="M4404" s="9"/>
    </row>
    <row r="4405">
      <c r="J4405" s="9"/>
      <c r="K4405" s="9"/>
      <c r="L4405" s="9"/>
      <c r="M4405" s="9"/>
    </row>
    <row r="4406">
      <c r="J4406" s="9"/>
      <c r="K4406" s="9"/>
      <c r="L4406" s="9"/>
      <c r="M4406" s="9"/>
    </row>
    <row r="4407">
      <c r="J4407" s="9"/>
      <c r="K4407" s="9"/>
      <c r="L4407" s="9"/>
      <c r="M4407" s="9"/>
    </row>
    <row r="4408">
      <c r="J4408" s="9"/>
      <c r="K4408" s="9"/>
      <c r="L4408" s="9"/>
      <c r="M4408" s="9"/>
    </row>
    <row r="4409">
      <c r="J4409" s="9"/>
      <c r="K4409" s="9"/>
      <c r="L4409" s="9"/>
      <c r="M4409" s="9"/>
    </row>
    <row r="4410">
      <c r="J4410" s="9"/>
      <c r="K4410" s="9"/>
      <c r="L4410" s="9"/>
      <c r="M4410" s="9"/>
    </row>
    <row r="4411">
      <c r="J4411" s="9"/>
      <c r="K4411" s="9"/>
      <c r="L4411" s="9"/>
      <c r="M4411" s="9"/>
    </row>
    <row r="4412">
      <c r="J4412" s="9"/>
      <c r="K4412" s="9"/>
      <c r="L4412" s="9"/>
      <c r="M4412" s="9"/>
    </row>
    <row r="4413">
      <c r="J4413" s="9"/>
      <c r="K4413" s="9"/>
      <c r="L4413" s="9"/>
      <c r="M4413" s="9"/>
    </row>
    <row r="4414">
      <c r="J4414" s="9"/>
      <c r="K4414" s="9"/>
      <c r="L4414" s="9"/>
      <c r="M4414" s="9"/>
    </row>
    <row r="4415">
      <c r="J4415" s="9"/>
      <c r="K4415" s="9"/>
      <c r="L4415" s="9"/>
      <c r="M4415" s="9"/>
    </row>
    <row r="4416">
      <c r="J4416" s="9"/>
      <c r="K4416" s="9"/>
      <c r="L4416" s="9"/>
      <c r="M4416" s="9"/>
    </row>
    <row r="4417">
      <c r="J4417" s="9"/>
      <c r="K4417" s="9"/>
      <c r="L4417" s="9"/>
      <c r="M4417" s="9"/>
    </row>
    <row r="4418">
      <c r="J4418" s="9"/>
      <c r="K4418" s="9"/>
      <c r="L4418" s="9"/>
      <c r="M4418" s="9"/>
    </row>
    <row r="4419">
      <c r="J4419" s="9"/>
      <c r="K4419" s="9"/>
      <c r="L4419" s="9"/>
      <c r="M4419" s="9"/>
    </row>
    <row r="4420">
      <c r="J4420" s="9"/>
      <c r="K4420" s="9"/>
      <c r="L4420" s="9"/>
      <c r="M4420" s="9"/>
    </row>
    <row r="4421">
      <c r="J4421" s="9"/>
      <c r="K4421" s="9"/>
      <c r="L4421" s="9"/>
      <c r="M4421" s="9"/>
    </row>
    <row r="4422">
      <c r="J4422" s="9"/>
      <c r="K4422" s="9"/>
      <c r="L4422" s="9"/>
      <c r="M4422" s="9"/>
    </row>
    <row r="4423">
      <c r="J4423" s="9"/>
      <c r="K4423" s="9"/>
      <c r="L4423" s="9"/>
      <c r="M4423" s="9"/>
    </row>
    <row r="4424">
      <c r="J4424" s="9"/>
      <c r="K4424" s="9"/>
      <c r="L4424" s="9"/>
      <c r="M4424" s="9"/>
    </row>
    <row r="4425">
      <c r="J4425" s="9"/>
      <c r="K4425" s="9"/>
      <c r="L4425" s="9"/>
      <c r="M4425" s="9"/>
    </row>
    <row r="4426">
      <c r="J4426" s="9"/>
      <c r="K4426" s="9"/>
      <c r="L4426" s="9"/>
      <c r="M4426" s="9"/>
    </row>
    <row r="4427">
      <c r="J4427" s="9"/>
      <c r="K4427" s="9"/>
      <c r="L4427" s="9"/>
      <c r="M4427" s="9"/>
    </row>
    <row r="4428">
      <c r="J4428" s="9"/>
      <c r="K4428" s="9"/>
      <c r="L4428" s="9"/>
      <c r="M4428" s="9"/>
    </row>
    <row r="4429">
      <c r="J4429" s="9"/>
      <c r="K4429" s="9"/>
      <c r="L4429" s="9"/>
      <c r="M4429" s="9"/>
    </row>
    <row r="4430">
      <c r="J4430" s="9"/>
      <c r="K4430" s="9"/>
      <c r="L4430" s="9"/>
      <c r="M4430" s="9"/>
    </row>
    <row r="4431">
      <c r="J4431" s="9"/>
      <c r="K4431" s="9"/>
      <c r="L4431" s="9"/>
      <c r="M4431" s="9"/>
    </row>
    <row r="4432">
      <c r="J4432" s="9"/>
      <c r="K4432" s="9"/>
      <c r="L4432" s="9"/>
      <c r="M4432" s="9"/>
    </row>
    <row r="4433">
      <c r="J4433" s="9"/>
      <c r="K4433" s="9"/>
      <c r="L4433" s="9"/>
      <c r="M4433" s="9"/>
    </row>
    <row r="4434">
      <c r="J4434" s="9"/>
      <c r="K4434" s="9"/>
      <c r="L4434" s="9"/>
      <c r="M4434" s="9"/>
    </row>
    <row r="4435">
      <c r="J4435" s="9"/>
      <c r="K4435" s="9"/>
      <c r="L4435" s="9"/>
      <c r="M4435" s="9"/>
    </row>
    <row r="4436">
      <c r="J4436" s="9"/>
      <c r="K4436" s="9"/>
      <c r="L4436" s="9"/>
      <c r="M4436" s="9"/>
    </row>
    <row r="4437">
      <c r="J4437" s="9"/>
      <c r="K4437" s="9"/>
      <c r="L4437" s="9"/>
      <c r="M4437" s="9"/>
    </row>
    <row r="4438">
      <c r="J4438" s="9"/>
      <c r="K4438" s="9"/>
      <c r="L4438" s="9"/>
      <c r="M4438" s="9"/>
    </row>
    <row r="4439">
      <c r="J4439" s="9"/>
      <c r="K4439" s="9"/>
      <c r="L4439" s="9"/>
      <c r="M4439" s="9"/>
    </row>
    <row r="4440">
      <c r="J4440" s="9"/>
      <c r="K4440" s="9"/>
      <c r="L4440" s="9"/>
      <c r="M4440" s="9"/>
    </row>
    <row r="4441">
      <c r="J4441" s="9"/>
      <c r="K4441" s="9"/>
      <c r="L4441" s="9"/>
      <c r="M4441" s="9"/>
    </row>
    <row r="4442">
      <c r="J4442" s="9"/>
      <c r="K4442" s="9"/>
      <c r="L4442" s="9"/>
      <c r="M4442" s="9"/>
    </row>
    <row r="4443">
      <c r="J4443" s="9"/>
      <c r="K4443" s="9"/>
      <c r="L4443" s="9"/>
      <c r="M4443" s="9"/>
    </row>
    <row r="4444">
      <c r="J4444" s="9"/>
      <c r="K4444" s="9"/>
      <c r="L4444" s="9"/>
      <c r="M4444" s="9"/>
    </row>
    <row r="4445">
      <c r="J4445" s="9"/>
      <c r="K4445" s="9"/>
      <c r="L4445" s="9"/>
      <c r="M4445" s="9"/>
    </row>
    <row r="4446">
      <c r="J4446" s="9"/>
      <c r="K4446" s="9"/>
      <c r="L4446" s="9"/>
      <c r="M4446" s="9"/>
    </row>
    <row r="4447">
      <c r="J4447" s="9"/>
      <c r="K4447" s="9"/>
      <c r="L4447" s="9"/>
      <c r="M4447" s="9"/>
    </row>
    <row r="4448">
      <c r="J4448" s="9"/>
      <c r="K4448" s="9"/>
      <c r="L4448" s="9"/>
      <c r="M4448" s="9"/>
    </row>
    <row r="4449">
      <c r="J4449" s="9"/>
      <c r="K4449" s="9"/>
      <c r="L4449" s="9"/>
      <c r="M4449" s="9"/>
    </row>
    <row r="4450">
      <c r="J4450" s="9"/>
      <c r="K4450" s="9"/>
      <c r="L4450" s="9"/>
      <c r="M4450" s="9"/>
    </row>
    <row r="4451">
      <c r="J4451" s="9"/>
      <c r="K4451" s="9"/>
      <c r="L4451" s="9"/>
      <c r="M4451" s="9"/>
    </row>
    <row r="4452">
      <c r="J4452" s="9"/>
      <c r="K4452" s="9"/>
      <c r="L4452" s="9"/>
      <c r="M4452" s="9"/>
    </row>
    <row r="4453">
      <c r="J4453" s="9"/>
      <c r="K4453" s="9"/>
      <c r="L4453" s="9"/>
      <c r="M4453" s="9"/>
    </row>
    <row r="4454">
      <c r="J4454" s="9"/>
      <c r="K4454" s="9"/>
      <c r="L4454" s="9"/>
      <c r="M4454" s="9"/>
    </row>
    <row r="4455">
      <c r="J4455" s="9"/>
      <c r="K4455" s="9"/>
      <c r="L4455" s="9"/>
      <c r="M4455" s="9"/>
    </row>
    <row r="4456">
      <c r="J4456" s="9"/>
      <c r="K4456" s="9"/>
      <c r="L4456" s="9"/>
      <c r="M4456" s="9"/>
    </row>
    <row r="4457">
      <c r="J4457" s="9"/>
      <c r="K4457" s="9"/>
      <c r="L4457" s="9"/>
      <c r="M4457" s="9"/>
    </row>
    <row r="4458">
      <c r="J4458" s="9"/>
      <c r="K4458" s="9"/>
      <c r="L4458" s="9"/>
      <c r="M4458" s="9"/>
    </row>
    <row r="4459">
      <c r="J4459" s="9"/>
      <c r="K4459" s="9"/>
      <c r="L4459" s="9"/>
      <c r="M4459" s="9"/>
    </row>
    <row r="4460">
      <c r="J4460" s="9"/>
      <c r="K4460" s="9"/>
      <c r="L4460" s="9"/>
      <c r="M4460" s="9"/>
    </row>
    <row r="4461">
      <c r="J4461" s="9"/>
      <c r="K4461" s="9"/>
      <c r="L4461" s="9"/>
      <c r="M4461" s="9"/>
    </row>
    <row r="4462">
      <c r="J4462" s="9"/>
      <c r="K4462" s="9"/>
      <c r="L4462" s="9"/>
      <c r="M4462" s="9"/>
    </row>
    <row r="4463">
      <c r="J4463" s="9"/>
      <c r="K4463" s="9"/>
      <c r="L4463" s="9"/>
      <c r="M4463" s="9"/>
    </row>
    <row r="4464">
      <c r="J4464" s="9"/>
      <c r="K4464" s="9"/>
      <c r="L4464" s="9"/>
      <c r="M4464" s="9"/>
    </row>
    <row r="4465">
      <c r="J4465" s="9"/>
      <c r="K4465" s="9"/>
      <c r="L4465" s="9"/>
      <c r="M4465" s="9"/>
    </row>
    <row r="4466">
      <c r="J4466" s="9"/>
      <c r="K4466" s="9"/>
      <c r="L4466" s="9"/>
      <c r="M4466" s="9"/>
    </row>
    <row r="4467">
      <c r="J4467" s="9"/>
      <c r="K4467" s="9"/>
      <c r="L4467" s="9"/>
      <c r="M4467" s="9"/>
    </row>
    <row r="4468">
      <c r="J4468" s="9"/>
      <c r="K4468" s="9"/>
      <c r="L4468" s="9"/>
      <c r="M4468" s="9"/>
    </row>
    <row r="4469">
      <c r="J4469" s="9"/>
      <c r="K4469" s="9"/>
      <c r="L4469" s="9"/>
      <c r="M4469" s="9"/>
    </row>
    <row r="4470">
      <c r="J4470" s="9"/>
      <c r="K4470" s="9"/>
      <c r="L4470" s="9"/>
      <c r="M4470" s="9"/>
    </row>
    <row r="4471">
      <c r="J4471" s="9"/>
      <c r="K4471" s="9"/>
      <c r="L4471" s="9"/>
      <c r="M4471" s="9"/>
    </row>
    <row r="4472">
      <c r="J4472" s="9"/>
      <c r="K4472" s="9"/>
      <c r="L4472" s="9"/>
      <c r="M4472" s="9"/>
    </row>
    <row r="4473">
      <c r="J4473" s="9"/>
      <c r="K4473" s="9"/>
      <c r="L4473" s="9"/>
      <c r="M4473" s="9"/>
    </row>
    <row r="4474">
      <c r="J4474" s="9"/>
      <c r="K4474" s="9"/>
      <c r="L4474" s="9"/>
      <c r="M4474" s="9"/>
    </row>
    <row r="4475">
      <c r="J4475" s="9"/>
      <c r="K4475" s="9"/>
      <c r="L4475" s="9"/>
      <c r="M4475" s="9"/>
    </row>
    <row r="4476">
      <c r="J4476" s="9"/>
      <c r="K4476" s="9"/>
      <c r="L4476" s="9"/>
      <c r="M4476" s="9"/>
    </row>
    <row r="4477">
      <c r="J4477" s="9"/>
      <c r="K4477" s="9"/>
      <c r="L4477" s="9"/>
      <c r="M4477" s="9"/>
    </row>
    <row r="4478">
      <c r="J4478" s="9"/>
      <c r="K4478" s="9"/>
      <c r="L4478" s="9"/>
      <c r="M4478" s="9"/>
    </row>
    <row r="4479">
      <c r="J4479" s="9"/>
      <c r="K4479" s="9"/>
      <c r="L4479" s="9"/>
      <c r="M4479" s="9"/>
    </row>
    <row r="4480">
      <c r="J4480" s="9"/>
      <c r="K4480" s="9"/>
      <c r="L4480" s="9"/>
      <c r="M4480" s="9"/>
    </row>
    <row r="4481">
      <c r="J4481" s="9"/>
      <c r="K4481" s="9"/>
      <c r="L4481" s="9"/>
      <c r="M4481" s="9"/>
    </row>
    <row r="4482">
      <c r="J4482" s="9"/>
      <c r="K4482" s="9"/>
      <c r="L4482" s="9"/>
      <c r="M4482" s="9"/>
    </row>
    <row r="4483">
      <c r="J4483" s="9"/>
      <c r="K4483" s="9"/>
      <c r="L4483" s="9"/>
      <c r="M4483" s="9"/>
    </row>
    <row r="4484">
      <c r="J4484" s="9"/>
      <c r="K4484" s="9"/>
      <c r="L4484" s="9"/>
      <c r="M4484" s="9"/>
    </row>
    <row r="4485">
      <c r="J4485" s="9"/>
      <c r="K4485" s="9"/>
      <c r="L4485" s="9"/>
      <c r="M4485" s="9"/>
    </row>
    <row r="4486">
      <c r="J4486" s="9"/>
      <c r="K4486" s="9"/>
      <c r="L4486" s="9"/>
      <c r="M4486" s="9"/>
    </row>
    <row r="4487">
      <c r="J4487" s="9"/>
      <c r="K4487" s="9"/>
      <c r="L4487" s="9"/>
      <c r="M4487" s="9"/>
    </row>
    <row r="4488">
      <c r="J4488" s="9"/>
      <c r="K4488" s="9"/>
      <c r="L4488" s="9"/>
      <c r="M4488" s="9"/>
    </row>
    <row r="4489">
      <c r="J4489" s="9"/>
      <c r="K4489" s="9"/>
      <c r="L4489" s="9"/>
      <c r="M4489" s="9"/>
    </row>
    <row r="4490">
      <c r="J4490" s="9"/>
      <c r="K4490" s="9"/>
      <c r="L4490" s="9"/>
      <c r="M4490" s="9"/>
    </row>
    <row r="4491">
      <c r="J4491" s="9"/>
      <c r="K4491" s="9"/>
      <c r="L4491" s="9"/>
      <c r="M4491" s="9"/>
    </row>
    <row r="4492">
      <c r="J4492" s="9"/>
      <c r="K4492" s="9"/>
      <c r="L4492" s="9"/>
      <c r="M4492" s="9"/>
    </row>
    <row r="4493">
      <c r="J4493" s="9"/>
      <c r="K4493" s="9"/>
      <c r="L4493" s="9"/>
      <c r="M4493" s="9"/>
    </row>
    <row r="4494">
      <c r="J4494" s="9"/>
      <c r="K4494" s="9"/>
      <c r="L4494" s="9"/>
      <c r="M4494" s="9"/>
    </row>
    <row r="4495">
      <c r="J4495" s="9"/>
      <c r="K4495" s="9"/>
      <c r="L4495" s="9"/>
      <c r="M4495" s="9"/>
    </row>
    <row r="4496">
      <c r="J4496" s="9"/>
      <c r="K4496" s="9"/>
      <c r="L4496" s="9"/>
      <c r="M4496" s="9"/>
    </row>
    <row r="4497">
      <c r="J4497" s="9"/>
      <c r="K4497" s="9"/>
      <c r="L4497" s="9"/>
      <c r="M4497" s="9"/>
    </row>
    <row r="4498">
      <c r="J4498" s="9"/>
      <c r="K4498" s="9"/>
      <c r="L4498" s="9"/>
      <c r="M4498" s="9"/>
    </row>
    <row r="4499">
      <c r="J4499" s="9"/>
      <c r="K4499" s="9"/>
      <c r="L4499" s="9"/>
      <c r="M4499" s="9"/>
    </row>
    <row r="4500">
      <c r="J4500" s="9"/>
      <c r="K4500" s="9"/>
      <c r="L4500" s="9"/>
      <c r="M4500" s="9"/>
    </row>
    <row r="4501">
      <c r="J4501" s="9"/>
      <c r="K4501" s="9"/>
      <c r="L4501" s="9"/>
      <c r="M4501" s="9"/>
    </row>
    <row r="4502">
      <c r="J4502" s="9"/>
      <c r="K4502" s="9"/>
      <c r="L4502" s="9"/>
      <c r="M4502" s="9"/>
    </row>
    <row r="4503">
      <c r="J4503" s="9"/>
      <c r="K4503" s="9"/>
      <c r="L4503" s="9"/>
      <c r="M4503" s="9"/>
    </row>
    <row r="4504">
      <c r="J4504" s="9"/>
      <c r="K4504" s="9"/>
      <c r="L4504" s="9"/>
      <c r="M4504" s="9"/>
    </row>
    <row r="4505">
      <c r="J4505" s="9"/>
      <c r="K4505" s="9"/>
      <c r="L4505" s="9"/>
      <c r="M4505" s="9"/>
    </row>
    <row r="4506">
      <c r="J4506" s="9"/>
      <c r="K4506" s="9"/>
      <c r="L4506" s="9"/>
      <c r="M4506" s="9"/>
    </row>
    <row r="4507">
      <c r="J4507" s="9"/>
      <c r="K4507" s="9"/>
      <c r="L4507" s="9"/>
      <c r="M4507" s="9"/>
    </row>
    <row r="4508">
      <c r="J4508" s="9"/>
      <c r="K4508" s="9"/>
      <c r="L4508" s="9"/>
      <c r="M4508" s="9"/>
    </row>
    <row r="4509">
      <c r="J4509" s="9"/>
      <c r="K4509" s="9"/>
      <c r="L4509" s="9"/>
      <c r="M4509" s="9"/>
    </row>
    <row r="4510">
      <c r="J4510" s="9"/>
      <c r="K4510" s="9"/>
      <c r="L4510" s="9"/>
      <c r="M4510" s="9"/>
    </row>
    <row r="4511">
      <c r="J4511" s="9"/>
      <c r="K4511" s="9"/>
      <c r="L4511" s="9"/>
      <c r="M4511" s="9"/>
    </row>
    <row r="4512">
      <c r="J4512" s="9"/>
      <c r="K4512" s="9"/>
      <c r="L4512" s="9"/>
      <c r="M4512" s="9"/>
    </row>
    <row r="4513">
      <c r="J4513" s="9"/>
      <c r="K4513" s="9"/>
      <c r="L4513" s="9"/>
      <c r="M4513" s="9"/>
    </row>
    <row r="4514">
      <c r="J4514" s="9"/>
      <c r="K4514" s="9"/>
      <c r="L4514" s="9"/>
      <c r="M4514" s="9"/>
    </row>
    <row r="4515">
      <c r="J4515" s="9"/>
      <c r="K4515" s="9"/>
      <c r="L4515" s="9"/>
      <c r="M4515" s="9"/>
    </row>
    <row r="4516">
      <c r="J4516" s="9"/>
      <c r="K4516" s="9"/>
      <c r="L4516" s="9"/>
      <c r="M4516" s="9"/>
    </row>
    <row r="4517">
      <c r="J4517" s="9"/>
      <c r="K4517" s="9"/>
      <c r="L4517" s="9"/>
      <c r="M4517" s="9"/>
    </row>
    <row r="4518">
      <c r="J4518" s="9"/>
      <c r="K4518" s="9"/>
      <c r="L4518" s="9"/>
      <c r="M4518" s="9"/>
    </row>
    <row r="4519">
      <c r="J4519" s="9"/>
      <c r="K4519" s="9"/>
      <c r="L4519" s="9"/>
      <c r="M4519" s="9"/>
    </row>
    <row r="4520">
      <c r="J4520" s="9"/>
      <c r="K4520" s="9"/>
      <c r="L4520" s="9"/>
      <c r="M4520" s="9"/>
    </row>
    <row r="4521">
      <c r="J4521" s="9"/>
      <c r="K4521" s="9"/>
      <c r="L4521" s="9"/>
      <c r="M4521" s="9"/>
    </row>
    <row r="4522">
      <c r="J4522" s="9"/>
      <c r="K4522" s="9"/>
      <c r="L4522" s="9"/>
      <c r="M4522" s="9"/>
    </row>
    <row r="4523">
      <c r="J4523" s="9"/>
      <c r="K4523" s="9"/>
      <c r="L4523" s="9"/>
      <c r="M4523" s="9"/>
    </row>
    <row r="4524">
      <c r="J4524" s="9"/>
      <c r="K4524" s="9"/>
      <c r="L4524" s="9"/>
      <c r="M4524" s="9"/>
    </row>
    <row r="4525">
      <c r="J4525" s="9"/>
      <c r="K4525" s="9"/>
      <c r="L4525" s="9"/>
      <c r="M4525" s="9"/>
    </row>
    <row r="4526">
      <c r="J4526" s="9"/>
      <c r="K4526" s="9"/>
      <c r="L4526" s="9"/>
      <c r="M4526" s="9"/>
    </row>
    <row r="4527">
      <c r="J4527" s="9"/>
      <c r="K4527" s="9"/>
      <c r="L4527" s="9"/>
      <c r="M4527" s="9"/>
    </row>
    <row r="4528">
      <c r="J4528" s="9"/>
      <c r="K4528" s="9"/>
      <c r="L4528" s="9"/>
      <c r="M4528" s="9"/>
    </row>
    <row r="4529">
      <c r="J4529" s="9"/>
      <c r="K4529" s="9"/>
      <c r="L4529" s="9"/>
      <c r="M4529" s="9"/>
    </row>
    <row r="4530">
      <c r="J4530" s="9"/>
      <c r="K4530" s="9"/>
      <c r="L4530" s="9"/>
      <c r="M4530" s="9"/>
    </row>
    <row r="4531">
      <c r="J4531" s="9"/>
      <c r="K4531" s="9"/>
      <c r="L4531" s="9"/>
      <c r="M4531" s="9"/>
    </row>
    <row r="4532">
      <c r="J4532" s="9"/>
      <c r="K4532" s="9"/>
      <c r="L4532" s="9"/>
      <c r="M4532" s="9"/>
    </row>
    <row r="4533">
      <c r="J4533" s="9"/>
      <c r="K4533" s="9"/>
      <c r="L4533" s="9"/>
      <c r="M4533" s="9"/>
    </row>
    <row r="4534">
      <c r="J4534" s="9"/>
      <c r="K4534" s="9"/>
      <c r="L4534" s="9"/>
      <c r="M4534" s="9"/>
    </row>
    <row r="4535">
      <c r="J4535" s="9"/>
      <c r="K4535" s="9"/>
      <c r="L4535" s="9"/>
      <c r="M4535" s="9"/>
    </row>
    <row r="4536">
      <c r="J4536" s="9"/>
      <c r="K4536" s="9"/>
      <c r="L4536" s="9"/>
      <c r="M4536" s="9"/>
    </row>
    <row r="4537">
      <c r="J4537" s="9"/>
      <c r="K4537" s="9"/>
      <c r="L4537" s="9"/>
      <c r="M4537" s="9"/>
    </row>
    <row r="4538">
      <c r="J4538" s="9"/>
      <c r="K4538" s="9"/>
      <c r="L4538" s="9"/>
      <c r="M4538" s="9"/>
    </row>
    <row r="4539">
      <c r="J4539" s="9"/>
      <c r="K4539" s="9"/>
      <c r="L4539" s="9"/>
      <c r="M4539" s="9"/>
    </row>
    <row r="4540">
      <c r="J4540" s="9"/>
      <c r="K4540" s="9"/>
      <c r="L4540" s="9"/>
      <c r="M4540" s="9"/>
    </row>
    <row r="4541">
      <c r="J4541" s="9"/>
      <c r="K4541" s="9"/>
      <c r="L4541" s="9"/>
      <c r="M4541" s="9"/>
    </row>
    <row r="4542">
      <c r="J4542" s="9"/>
      <c r="K4542" s="9"/>
      <c r="L4542" s="9"/>
      <c r="M4542" s="9"/>
    </row>
    <row r="4543">
      <c r="J4543" s="9"/>
      <c r="K4543" s="9"/>
      <c r="L4543" s="9"/>
      <c r="M4543" s="9"/>
    </row>
    <row r="4544">
      <c r="J4544" s="9"/>
      <c r="K4544" s="9"/>
      <c r="L4544" s="9"/>
      <c r="M4544" s="9"/>
    </row>
    <row r="4545">
      <c r="J4545" s="9"/>
      <c r="K4545" s="9"/>
      <c r="L4545" s="9"/>
      <c r="M4545" s="9"/>
    </row>
    <row r="4546">
      <c r="J4546" s="9"/>
      <c r="K4546" s="9"/>
      <c r="L4546" s="9"/>
      <c r="M4546" s="9"/>
    </row>
    <row r="4547">
      <c r="J4547" s="9"/>
      <c r="K4547" s="9"/>
      <c r="L4547" s="9"/>
      <c r="M4547" s="9"/>
    </row>
    <row r="4548">
      <c r="J4548" s="9"/>
      <c r="K4548" s="9"/>
      <c r="L4548" s="9"/>
      <c r="M4548" s="9"/>
    </row>
    <row r="4549">
      <c r="J4549" s="9"/>
      <c r="K4549" s="9"/>
      <c r="L4549" s="9"/>
      <c r="M4549" s="9"/>
    </row>
    <row r="4550">
      <c r="J4550" s="9"/>
      <c r="K4550" s="9"/>
      <c r="L4550" s="9"/>
      <c r="M4550" s="9"/>
    </row>
    <row r="4551">
      <c r="J4551" s="9"/>
      <c r="K4551" s="9"/>
      <c r="L4551" s="9"/>
      <c r="M4551" s="9"/>
    </row>
    <row r="4552">
      <c r="J4552" s="9"/>
      <c r="K4552" s="9"/>
      <c r="L4552" s="9"/>
      <c r="M4552" s="9"/>
    </row>
    <row r="4553">
      <c r="J4553" s="9"/>
      <c r="K4553" s="9"/>
      <c r="L4553" s="9"/>
      <c r="M4553" s="9"/>
    </row>
    <row r="4554">
      <c r="J4554" s="9"/>
      <c r="K4554" s="9"/>
      <c r="L4554" s="9"/>
      <c r="M4554" s="9"/>
    </row>
    <row r="4555">
      <c r="J4555" s="9"/>
      <c r="K4555" s="9"/>
      <c r="L4555" s="9"/>
      <c r="M4555" s="9"/>
    </row>
    <row r="4556">
      <c r="J4556" s="9"/>
      <c r="K4556" s="9"/>
      <c r="L4556" s="9"/>
      <c r="M4556" s="9"/>
    </row>
    <row r="4557">
      <c r="J4557" s="9"/>
      <c r="K4557" s="9"/>
      <c r="L4557" s="9"/>
      <c r="M4557" s="9"/>
    </row>
    <row r="4558">
      <c r="J4558" s="9"/>
      <c r="K4558" s="9"/>
      <c r="L4558" s="9"/>
      <c r="M4558" s="9"/>
    </row>
    <row r="4559">
      <c r="J4559" s="9"/>
      <c r="K4559" s="9"/>
      <c r="L4559" s="9"/>
      <c r="M4559" s="9"/>
    </row>
    <row r="4560">
      <c r="J4560" s="9"/>
      <c r="K4560" s="9"/>
      <c r="L4560" s="9"/>
      <c r="M4560" s="9"/>
    </row>
    <row r="4561">
      <c r="J4561" s="9"/>
      <c r="K4561" s="9"/>
      <c r="L4561" s="9"/>
      <c r="M4561" s="9"/>
    </row>
    <row r="4562">
      <c r="J4562" s="9"/>
      <c r="K4562" s="9"/>
      <c r="L4562" s="9"/>
      <c r="M4562" s="9"/>
    </row>
    <row r="4563">
      <c r="J4563" s="9"/>
      <c r="K4563" s="9"/>
      <c r="L4563" s="9"/>
      <c r="M4563" s="9"/>
    </row>
    <row r="4564">
      <c r="J4564" s="9"/>
      <c r="K4564" s="9"/>
      <c r="L4564" s="9"/>
      <c r="M4564" s="9"/>
    </row>
    <row r="4565">
      <c r="J4565" s="9"/>
      <c r="K4565" s="9"/>
      <c r="L4565" s="9"/>
      <c r="M4565" s="9"/>
    </row>
    <row r="4566">
      <c r="J4566" s="9"/>
      <c r="K4566" s="9"/>
      <c r="L4566" s="9"/>
      <c r="M4566" s="9"/>
    </row>
    <row r="4567">
      <c r="J4567" s="9"/>
      <c r="K4567" s="9"/>
      <c r="L4567" s="9"/>
      <c r="M4567" s="9"/>
    </row>
    <row r="4568">
      <c r="J4568" s="9"/>
      <c r="K4568" s="9"/>
      <c r="L4568" s="9"/>
      <c r="M4568" s="9"/>
    </row>
    <row r="4569">
      <c r="J4569" s="9"/>
      <c r="K4569" s="9"/>
      <c r="L4569" s="9"/>
      <c r="M4569" s="9"/>
    </row>
    <row r="4570">
      <c r="J4570" s="9"/>
      <c r="K4570" s="9"/>
      <c r="L4570" s="9"/>
      <c r="M4570" s="9"/>
    </row>
    <row r="4571">
      <c r="J4571" s="9"/>
      <c r="K4571" s="9"/>
      <c r="L4571" s="9"/>
      <c r="M4571" s="9"/>
    </row>
    <row r="4572">
      <c r="J4572" s="9"/>
      <c r="K4572" s="9"/>
      <c r="L4572" s="9"/>
      <c r="M4572" s="9"/>
    </row>
    <row r="4573">
      <c r="J4573" s="9"/>
      <c r="K4573" s="9"/>
      <c r="L4573" s="9"/>
      <c r="M4573" s="9"/>
    </row>
    <row r="4574">
      <c r="J4574" s="9"/>
      <c r="K4574" s="9"/>
      <c r="L4574" s="9"/>
      <c r="M4574" s="9"/>
    </row>
    <row r="4575">
      <c r="J4575" s="9"/>
      <c r="K4575" s="9"/>
      <c r="L4575" s="9"/>
      <c r="M4575" s="9"/>
    </row>
    <row r="4576">
      <c r="J4576" s="9"/>
      <c r="K4576" s="9"/>
      <c r="L4576" s="9"/>
      <c r="M4576" s="9"/>
    </row>
    <row r="4577">
      <c r="J4577" s="9"/>
      <c r="K4577" s="9"/>
      <c r="L4577" s="9"/>
      <c r="M4577" s="9"/>
    </row>
    <row r="4578">
      <c r="J4578" s="9"/>
      <c r="K4578" s="9"/>
      <c r="L4578" s="9"/>
      <c r="M4578" s="9"/>
    </row>
    <row r="4579">
      <c r="J4579" s="9"/>
      <c r="K4579" s="9"/>
      <c r="L4579" s="9"/>
      <c r="M4579" s="9"/>
    </row>
    <row r="4580">
      <c r="J4580" s="9"/>
      <c r="K4580" s="9"/>
      <c r="L4580" s="9"/>
      <c r="M4580" s="9"/>
    </row>
    <row r="4581">
      <c r="J4581" s="9"/>
      <c r="K4581" s="9"/>
      <c r="L4581" s="9"/>
      <c r="M4581" s="9"/>
    </row>
    <row r="4582">
      <c r="J4582" s="9"/>
      <c r="K4582" s="9"/>
      <c r="L4582" s="9"/>
      <c r="M4582" s="9"/>
    </row>
    <row r="4583">
      <c r="J4583" s="9"/>
      <c r="K4583" s="9"/>
      <c r="L4583" s="9"/>
      <c r="M4583" s="9"/>
    </row>
    <row r="4584">
      <c r="J4584" s="9"/>
      <c r="K4584" s="9"/>
      <c r="L4584" s="9"/>
      <c r="M4584" s="9"/>
    </row>
    <row r="4585">
      <c r="J4585" s="9"/>
      <c r="K4585" s="9"/>
      <c r="L4585" s="9"/>
      <c r="M4585" s="9"/>
    </row>
    <row r="4586">
      <c r="J4586" s="9"/>
      <c r="K4586" s="9"/>
      <c r="L4586" s="9"/>
      <c r="M4586" s="9"/>
    </row>
    <row r="4587">
      <c r="J4587" s="9"/>
      <c r="K4587" s="9"/>
      <c r="L4587" s="9"/>
      <c r="M4587" s="9"/>
    </row>
    <row r="4588">
      <c r="J4588" s="9"/>
      <c r="K4588" s="9"/>
      <c r="L4588" s="9"/>
      <c r="M4588" s="9"/>
    </row>
    <row r="4589">
      <c r="J4589" s="9"/>
      <c r="K4589" s="9"/>
      <c r="L4589" s="9"/>
      <c r="M4589" s="9"/>
    </row>
    <row r="4590">
      <c r="J4590" s="9"/>
      <c r="K4590" s="9"/>
      <c r="L4590" s="9"/>
      <c r="M4590" s="9"/>
    </row>
    <row r="4591">
      <c r="J4591" s="9"/>
      <c r="K4591" s="9"/>
      <c r="L4591" s="9"/>
      <c r="M4591" s="9"/>
    </row>
    <row r="4592">
      <c r="J4592" s="9"/>
      <c r="K4592" s="9"/>
      <c r="L4592" s="9"/>
      <c r="M4592" s="9"/>
    </row>
    <row r="4593">
      <c r="J4593" s="9"/>
      <c r="K4593" s="9"/>
      <c r="L4593" s="9"/>
      <c r="M4593" s="9"/>
    </row>
    <row r="4594">
      <c r="J4594" s="9"/>
      <c r="K4594" s="9"/>
      <c r="L4594" s="9"/>
      <c r="M4594" s="9"/>
    </row>
    <row r="4595">
      <c r="J4595" s="9"/>
      <c r="K4595" s="9"/>
      <c r="L4595" s="9"/>
      <c r="M4595" s="9"/>
    </row>
    <row r="4596">
      <c r="J4596" s="9"/>
      <c r="K4596" s="9"/>
      <c r="L4596" s="9"/>
      <c r="M4596" s="9"/>
    </row>
    <row r="4597">
      <c r="J4597" s="9"/>
      <c r="K4597" s="9"/>
      <c r="L4597" s="9"/>
      <c r="M4597" s="9"/>
    </row>
    <row r="4598">
      <c r="J4598" s="9"/>
      <c r="K4598" s="9"/>
      <c r="L4598" s="9"/>
      <c r="M4598" s="9"/>
    </row>
    <row r="4599">
      <c r="J4599" s="9"/>
      <c r="K4599" s="9"/>
      <c r="L4599" s="9"/>
      <c r="M4599" s="9"/>
    </row>
    <row r="4600">
      <c r="J4600" s="9"/>
      <c r="K4600" s="9"/>
      <c r="L4600" s="9"/>
      <c r="M4600" s="9"/>
    </row>
    <row r="4601">
      <c r="J4601" s="9"/>
      <c r="K4601" s="9"/>
      <c r="L4601" s="9"/>
      <c r="M4601" s="9"/>
    </row>
    <row r="4602">
      <c r="J4602" s="9"/>
      <c r="K4602" s="9"/>
      <c r="L4602" s="9"/>
      <c r="M4602" s="9"/>
    </row>
    <row r="4603">
      <c r="J4603" s="9"/>
      <c r="K4603" s="9"/>
      <c r="L4603" s="9"/>
      <c r="M4603" s="9"/>
    </row>
    <row r="4604">
      <c r="J4604" s="9"/>
      <c r="K4604" s="9"/>
      <c r="L4604" s="9"/>
      <c r="M4604" s="9"/>
    </row>
    <row r="4605">
      <c r="J4605" s="9"/>
      <c r="K4605" s="9"/>
      <c r="L4605" s="9"/>
      <c r="M4605" s="9"/>
    </row>
    <row r="4606">
      <c r="J4606" s="9"/>
      <c r="K4606" s="9"/>
      <c r="L4606" s="9"/>
      <c r="M4606" s="9"/>
    </row>
    <row r="4607">
      <c r="J4607" s="9"/>
      <c r="K4607" s="9"/>
      <c r="L4607" s="9"/>
      <c r="M4607" s="9"/>
    </row>
    <row r="4608">
      <c r="J4608" s="9"/>
      <c r="K4608" s="9"/>
      <c r="L4608" s="9"/>
      <c r="M4608" s="9"/>
    </row>
    <row r="4609">
      <c r="J4609" s="9"/>
      <c r="K4609" s="9"/>
      <c r="L4609" s="9"/>
      <c r="M4609" s="9"/>
    </row>
    <row r="4610">
      <c r="J4610" s="9"/>
      <c r="K4610" s="9"/>
      <c r="L4610" s="9"/>
      <c r="M4610" s="9"/>
    </row>
    <row r="4611">
      <c r="J4611" s="9"/>
      <c r="K4611" s="9"/>
      <c r="L4611" s="9"/>
      <c r="M4611" s="9"/>
    </row>
    <row r="4612">
      <c r="J4612" s="9"/>
      <c r="K4612" s="9"/>
      <c r="L4612" s="9"/>
      <c r="M4612" s="9"/>
    </row>
    <row r="4613">
      <c r="J4613" s="9"/>
      <c r="K4613" s="9"/>
      <c r="L4613" s="9"/>
      <c r="M4613" s="9"/>
    </row>
    <row r="4614">
      <c r="J4614" s="9"/>
      <c r="K4614" s="9"/>
      <c r="L4614" s="9"/>
      <c r="M4614" s="9"/>
    </row>
    <row r="4615">
      <c r="J4615" s="9"/>
      <c r="K4615" s="9"/>
      <c r="L4615" s="9"/>
      <c r="M4615" s="9"/>
    </row>
    <row r="4616">
      <c r="J4616" s="9"/>
      <c r="K4616" s="9"/>
      <c r="L4616" s="9"/>
      <c r="M4616" s="9"/>
    </row>
    <row r="4617">
      <c r="J4617" s="9"/>
      <c r="K4617" s="9"/>
      <c r="L4617" s="9"/>
      <c r="M4617" s="9"/>
    </row>
    <row r="4618">
      <c r="J4618" s="9"/>
      <c r="K4618" s="9"/>
      <c r="L4618" s="9"/>
      <c r="M4618" s="9"/>
    </row>
    <row r="4619">
      <c r="J4619" s="9"/>
      <c r="K4619" s="9"/>
      <c r="L4619" s="9"/>
      <c r="M4619" s="9"/>
    </row>
    <row r="4620">
      <c r="J4620" s="9"/>
      <c r="K4620" s="9"/>
      <c r="L4620" s="9"/>
      <c r="M4620" s="9"/>
    </row>
    <row r="4621">
      <c r="J4621" s="9"/>
      <c r="K4621" s="9"/>
      <c r="L4621" s="9"/>
      <c r="M4621" s="9"/>
    </row>
    <row r="4622">
      <c r="J4622" s="9"/>
      <c r="K4622" s="9"/>
      <c r="L4622" s="9"/>
      <c r="M4622" s="9"/>
    </row>
    <row r="4623">
      <c r="J4623" s="9"/>
      <c r="K4623" s="9"/>
      <c r="L4623" s="9"/>
      <c r="M4623" s="9"/>
    </row>
    <row r="4624">
      <c r="J4624" s="9"/>
      <c r="K4624" s="9"/>
      <c r="L4624" s="9"/>
      <c r="M4624" s="9"/>
    </row>
    <row r="4625">
      <c r="J4625" s="9"/>
      <c r="K4625" s="9"/>
      <c r="L4625" s="9"/>
      <c r="M4625" s="9"/>
    </row>
    <row r="4626">
      <c r="J4626" s="9"/>
      <c r="K4626" s="9"/>
      <c r="L4626" s="9"/>
      <c r="M4626" s="9"/>
    </row>
    <row r="4627">
      <c r="J4627" s="9"/>
      <c r="K4627" s="9"/>
      <c r="L4627" s="9"/>
      <c r="M4627" s="9"/>
    </row>
    <row r="4628">
      <c r="J4628" s="9"/>
      <c r="K4628" s="9"/>
      <c r="L4628" s="9"/>
      <c r="M4628" s="9"/>
    </row>
    <row r="4629">
      <c r="J4629" s="9"/>
      <c r="K4629" s="9"/>
      <c r="L4629" s="9"/>
      <c r="M4629" s="9"/>
    </row>
    <row r="4630">
      <c r="J4630" s="9"/>
      <c r="K4630" s="9"/>
      <c r="L4630" s="9"/>
      <c r="M4630" s="9"/>
    </row>
    <row r="4631">
      <c r="J4631" s="9"/>
      <c r="K4631" s="9"/>
      <c r="L4631" s="9"/>
      <c r="M4631" s="9"/>
    </row>
    <row r="4632">
      <c r="J4632" s="9"/>
      <c r="K4632" s="9"/>
      <c r="L4632" s="9"/>
      <c r="M4632" s="9"/>
    </row>
    <row r="4633">
      <c r="J4633" s="9"/>
      <c r="K4633" s="9"/>
      <c r="L4633" s="9"/>
      <c r="M4633" s="9"/>
    </row>
    <row r="4634">
      <c r="J4634" s="9"/>
      <c r="K4634" s="9"/>
      <c r="L4634" s="9"/>
      <c r="M4634" s="9"/>
    </row>
    <row r="4635">
      <c r="J4635" s="9"/>
      <c r="K4635" s="9"/>
      <c r="L4635" s="9"/>
      <c r="M4635" s="9"/>
    </row>
    <row r="4636">
      <c r="J4636" s="9"/>
      <c r="K4636" s="9"/>
      <c r="L4636" s="9"/>
      <c r="M4636" s="9"/>
    </row>
    <row r="4637">
      <c r="J4637" s="9"/>
      <c r="K4637" s="9"/>
      <c r="L4637" s="9"/>
      <c r="M4637" s="9"/>
    </row>
    <row r="4638">
      <c r="J4638" s="9"/>
      <c r="K4638" s="9"/>
      <c r="L4638" s="9"/>
      <c r="M4638" s="9"/>
    </row>
    <row r="4639">
      <c r="J4639" s="9"/>
      <c r="K4639" s="9"/>
      <c r="L4639" s="9"/>
      <c r="M4639" s="9"/>
    </row>
    <row r="4640">
      <c r="J4640" s="9"/>
      <c r="K4640" s="9"/>
      <c r="L4640" s="9"/>
      <c r="M4640" s="9"/>
    </row>
    <row r="4641">
      <c r="J4641" s="9"/>
      <c r="K4641" s="9"/>
      <c r="L4641" s="9"/>
      <c r="M4641" s="9"/>
    </row>
    <row r="4642">
      <c r="J4642" s="9"/>
      <c r="K4642" s="9"/>
      <c r="L4642" s="9"/>
      <c r="M4642" s="9"/>
    </row>
    <row r="4643">
      <c r="J4643" s="9"/>
      <c r="K4643" s="9"/>
      <c r="L4643" s="9"/>
      <c r="M4643" s="9"/>
    </row>
    <row r="4644">
      <c r="J4644" s="9"/>
      <c r="K4644" s="9"/>
      <c r="L4644" s="9"/>
      <c r="M4644" s="9"/>
    </row>
    <row r="4645">
      <c r="J4645" s="9"/>
      <c r="K4645" s="9"/>
      <c r="L4645" s="9"/>
      <c r="M4645" s="9"/>
    </row>
    <row r="4646">
      <c r="J4646" s="9"/>
      <c r="K4646" s="9"/>
      <c r="L4646" s="9"/>
      <c r="M4646" s="9"/>
    </row>
    <row r="4647">
      <c r="J4647" s="9"/>
      <c r="K4647" s="9"/>
      <c r="L4647" s="9"/>
      <c r="M4647" s="9"/>
    </row>
    <row r="4648">
      <c r="J4648" s="9"/>
      <c r="K4648" s="9"/>
      <c r="L4648" s="9"/>
      <c r="M4648" s="9"/>
    </row>
    <row r="4649">
      <c r="J4649" s="9"/>
      <c r="K4649" s="9"/>
      <c r="L4649" s="9"/>
      <c r="M4649" s="9"/>
    </row>
    <row r="4650">
      <c r="J4650" s="9"/>
      <c r="K4650" s="9"/>
      <c r="L4650" s="9"/>
      <c r="M4650" s="9"/>
    </row>
    <row r="4651">
      <c r="J4651" s="9"/>
      <c r="K4651" s="9"/>
      <c r="L4651" s="9"/>
      <c r="M4651" s="9"/>
    </row>
    <row r="4652">
      <c r="J4652" s="9"/>
      <c r="K4652" s="9"/>
      <c r="L4652" s="9"/>
      <c r="M4652" s="9"/>
    </row>
    <row r="4653">
      <c r="J4653" s="9"/>
      <c r="K4653" s="9"/>
      <c r="L4653" s="9"/>
      <c r="M4653" s="9"/>
    </row>
    <row r="4654">
      <c r="J4654" s="9"/>
      <c r="K4654" s="9"/>
      <c r="L4654" s="9"/>
      <c r="M4654" s="9"/>
    </row>
    <row r="4655">
      <c r="J4655" s="9"/>
      <c r="K4655" s="9"/>
      <c r="L4655" s="9"/>
      <c r="M4655" s="9"/>
    </row>
    <row r="4656">
      <c r="J4656" s="9"/>
      <c r="K4656" s="9"/>
      <c r="L4656" s="9"/>
      <c r="M4656" s="9"/>
    </row>
    <row r="4657">
      <c r="J4657" s="9"/>
      <c r="K4657" s="9"/>
      <c r="L4657" s="9"/>
      <c r="M4657" s="9"/>
    </row>
    <row r="4658">
      <c r="J4658" s="9"/>
      <c r="K4658" s="9"/>
      <c r="L4658" s="9"/>
      <c r="M4658" s="9"/>
    </row>
    <row r="4659">
      <c r="J4659" s="9"/>
      <c r="K4659" s="9"/>
      <c r="L4659" s="9"/>
      <c r="M4659" s="9"/>
    </row>
    <row r="4660">
      <c r="J4660" s="9"/>
      <c r="K4660" s="9"/>
      <c r="L4660" s="9"/>
      <c r="M4660" s="9"/>
    </row>
    <row r="4661">
      <c r="J4661" s="9"/>
      <c r="K4661" s="9"/>
      <c r="L4661" s="9"/>
      <c r="M4661" s="9"/>
    </row>
    <row r="4662">
      <c r="J4662" s="9"/>
      <c r="K4662" s="9"/>
      <c r="L4662" s="9"/>
      <c r="M4662" s="9"/>
    </row>
    <row r="4663">
      <c r="J4663" s="9"/>
      <c r="K4663" s="9"/>
      <c r="L4663" s="9"/>
      <c r="M4663" s="9"/>
    </row>
    <row r="4664">
      <c r="J4664" s="9"/>
      <c r="K4664" s="9"/>
      <c r="L4664" s="9"/>
      <c r="M4664" s="9"/>
    </row>
    <row r="4665">
      <c r="J4665" s="9"/>
      <c r="K4665" s="9"/>
      <c r="L4665" s="9"/>
      <c r="M4665" s="9"/>
    </row>
    <row r="4666">
      <c r="J4666" s="9"/>
      <c r="K4666" s="9"/>
      <c r="L4666" s="9"/>
      <c r="M4666" s="9"/>
    </row>
    <row r="4667">
      <c r="J4667" s="9"/>
      <c r="K4667" s="9"/>
      <c r="L4667" s="9"/>
      <c r="M4667" s="9"/>
    </row>
    <row r="4668">
      <c r="J4668" s="9"/>
      <c r="K4668" s="9"/>
      <c r="L4668" s="9"/>
      <c r="M4668" s="9"/>
    </row>
    <row r="4669">
      <c r="J4669" s="9"/>
      <c r="K4669" s="9"/>
      <c r="L4669" s="9"/>
      <c r="M4669" s="9"/>
    </row>
    <row r="4670">
      <c r="J4670" s="9"/>
      <c r="K4670" s="9"/>
      <c r="L4670" s="9"/>
      <c r="M4670" s="9"/>
    </row>
    <row r="4671">
      <c r="J4671" s="9"/>
      <c r="K4671" s="9"/>
      <c r="L4671" s="9"/>
      <c r="M4671" s="9"/>
    </row>
    <row r="4672">
      <c r="J4672" s="9"/>
      <c r="K4672" s="9"/>
      <c r="L4672" s="9"/>
      <c r="M4672" s="9"/>
    </row>
    <row r="4673">
      <c r="J4673" s="9"/>
      <c r="K4673" s="9"/>
      <c r="L4673" s="9"/>
      <c r="M4673" s="9"/>
    </row>
    <row r="4674">
      <c r="J4674" s="9"/>
      <c r="K4674" s="9"/>
      <c r="L4674" s="9"/>
      <c r="M4674" s="9"/>
    </row>
    <row r="4675">
      <c r="J4675" s="9"/>
      <c r="K4675" s="9"/>
      <c r="L4675" s="9"/>
      <c r="M4675" s="9"/>
    </row>
    <row r="4676">
      <c r="J4676" s="9"/>
      <c r="K4676" s="9"/>
      <c r="L4676" s="9"/>
      <c r="M4676" s="9"/>
    </row>
    <row r="4677">
      <c r="J4677" s="9"/>
      <c r="K4677" s="9"/>
      <c r="L4677" s="9"/>
      <c r="M4677" s="9"/>
    </row>
    <row r="4678">
      <c r="J4678" s="9"/>
      <c r="K4678" s="9"/>
      <c r="L4678" s="9"/>
      <c r="M4678" s="9"/>
    </row>
    <row r="4679">
      <c r="J4679" s="9"/>
      <c r="K4679" s="9"/>
      <c r="L4679" s="9"/>
      <c r="M4679" s="9"/>
    </row>
    <row r="4680">
      <c r="J4680" s="9"/>
      <c r="K4680" s="9"/>
      <c r="L4680" s="9"/>
      <c r="M4680" s="9"/>
    </row>
    <row r="4681">
      <c r="J4681" s="9"/>
      <c r="K4681" s="9"/>
      <c r="L4681" s="9"/>
      <c r="M4681" s="9"/>
    </row>
    <row r="4682">
      <c r="J4682" s="9"/>
      <c r="K4682" s="9"/>
      <c r="L4682" s="9"/>
      <c r="M4682" s="9"/>
    </row>
    <row r="4683">
      <c r="J4683" s="9"/>
      <c r="K4683" s="9"/>
      <c r="L4683" s="9"/>
      <c r="M4683" s="9"/>
    </row>
    <row r="4684">
      <c r="J4684" s="9"/>
      <c r="K4684" s="9"/>
      <c r="L4684" s="9"/>
      <c r="M4684" s="9"/>
    </row>
    <row r="4685">
      <c r="J4685" s="9"/>
      <c r="K4685" s="9"/>
      <c r="L4685" s="9"/>
      <c r="M4685" s="9"/>
    </row>
    <row r="4686">
      <c r="J4686" s="9"/>
      <c r="K4686" s="9"/>
      <c r="L4686" s="9"/>
      <c r="M4686" s="9"/>
    </row>
    <row r="4687">
      <c r="J4687" s="9"/>
      <c r="K4687" s="9"/>
      <c r="L4687" s="9"/>
      <c r="M4687" s="9"/>
    </row>
    <row r="4688">
      <c r="J4688" s="9"/>
      <c r="K4688" s="9"/>
      <c r="L4688" s="9"/>
      <c r="M4688" s="9"/>
    </row>
    <row r="4689">
      <c r="J4689" s="9"/>
      <c r="K4689" s="9"/>
      <c r="L4689" s="9"/>
      <c r="M4689" s="9"/>
    </row>
    <row r="4690">
      <c r="J4690" s="9"/>
      <c r="K4690" s="9"/>
      <c r="L4690" s="9"/>
      <c r="M4690" s="9"/>
    </row>
    <row r="4691">
      <c r="J4691" s="9"/>
      <c r="K4691" s="9"/>
      <c r="L4691" s="9"/>
      <c r="M4691" s="9"/>
    </row>
    <row r="4692">
      <c r="J4692" s="9"/>
      <c r="K4692" s="9"/>
      <c r="L4692" s="9"/>
      <c r="M4692" s="9"/>
    </row>
    <row r="4693">
      <c r="J4693" s="9"/>
      <c r="K4693" s="9"/>
      <c r="L4693" s="9"/>
      <c r="M4693" s="9"/>
    </row>
    <row r="4694">
      <c r="J4694" s="9"/>
      <c r="K4694" s="9"/>
      <c r="L4694" s="9"/>
      <c r="M4694" s="9"/>
    </row>
    <row r="4695">
      <c r="J4695" s="9"/>
      <c r="K4695" s="9"/>
      <c r="L4695" s="9"/>
      <c r="M4695" s="9"/>
    </row>
    <row r="4696">
      <c r="J4696" s="9"/>
      <c r="K4696" s="9"/>
      <c r="L4696" s="9"/>
      <c r="M4696" s="9"/>
    </row>
    <row r="4697">
      <c r="J4697" s="9"/>
      <c r="K4697" s="9"/>
      <c r="L4697" s="9"/>
      <c r="M4697" s="9"/>
    </row>
    <row r="4698">
      <c r="J4698" s="9"/>
      <c r="K4698" s="9"/>
      <c r="L4698" s="9"/>
      <c r="M4698" s="9"/>
    </row>
    <row r="4699">
      <c r="J4699" s="9"/>
      <c r="K4699" s="9"/>
      <c r="L4699" s="9"/>
      <c r="M4699" s="9"/>
    </row>
    <row r="4700">
      <c r="J4700" s="9"/>
      <c r="K4700" s="9"/>
      <c r="L4700" s="9"/>
      <c r="M4700" s="9"/>
    </row>
    <row r="4701">
      <c r="J4701" s="9"/>
      <c r="K4701" s="9"/>
      <c r="L4701" s="9"/>
      <c r="M4701" s="9"/>
    </row>
    <row r="4702">
      <c r="J4702" s="9"/>
      <c r="K4702" s="9"/>
      <c r="L4702" s="9"/>
      <c r="M4702" s="9"/>
    </row>
    <row r="4703">
      <c r="J4703" s="9"/>
      <c r="K4703" s="9"/>
      <c r="L4703" s="9"/>
      <c r="M4703" s="9"/>
    </row>
    <row r="4704">
      <c r="J4704" s="9"/>
      <c r="K4704" s="9"/>
      <c r="L4704" s="9"/>
      <c r="M4704" s="9"/>
    </row>
    <row r="4705">
      <c r="J4705" s="9"/>
      <c r="K4705" s="9"/>
      <c r="L4705" s="9"/>
      <c r="M4705" s="9"/>
    </row>
    <row r="4706">
      <c r="J4706" s="9"/>
      <c r="K4706" s="9"/>
      <c r="L4706" s="9"/>
      <c r="M4706" s="9"/>
    </row>
    <row r="4707">
      <c r="J4707" s="9"/>
      <c r="K4707" s="9"/>
      <c r="L4707" s="9"/>
      <c r="M4707" s="9"/>
    </row>
    <row r="4708">
      <c r="J4708" s="9"/>
      <c r="K4708" s="9"/>
      <c r="L4708" s="9"/>
      <c r="M4708" s="9"/>
    </row>
    <row r="4709">
      <c r="J4709" s="9"/>
      <c r="K4709" s="9"/>
      <c r="L4709" s="9"/>
      <c r="M4709" s="9"/>
    </row>
    <row r="4710">
      <c r="J4710" s="9"/>
      <c r="K4710" s="9"/>
      <c r="L4710" s="9"/>
      <c r="M4710" s="9"/>
    </row>
    <row r="4711">
      <c r="J4711" s="9"/>
      <c r="K4711" s="9"/>
      <c r="L4711" s="9"/>
      <c r="M4711" s="9"/>
    </row>
    <row r="4712">
      <c r="J4712" s="9"/>
      <c r="K4712" s="9"/>
      <c r="L4712" s="9"/>
      <c r="M4712" s="9"/>
    </row>
    <row r="4713">
      <c r="J4713" s="9"/>
      <c r="K4713" s="9"/>
      <c r="L4713" s="9"/>
      <c r="M4713" s="9"/>
    </row>
    <row r="4714">
      <c r="J4714" s="9"/>
      <c r="K4714" s="9"/>
      <c r="L4714" s="9"/>
      <c r="M4714" s="9"/>
    </row>
    <row r="4715">
      <c r="J4715" s="9"/>
      <c r="K4715" s="9"/>
      <c r="L4715" s="9"/>
      <c r="M4715" s="9"/>
    </row>
    <row r="4716">
      <c r="J4716" s="9"/>
      <c r="K4716" s="9"/>
      <c r="L4716" s="9"/>
      <c r="M4716" s="9"/>
    </row>
    <row r="4717">
      <c r="J4717" s="9"/>
      <c r="K4717" s="9"/>
      <c r="L4717" s="9"/>
      <c r="M4717" s="9"/>
    </row>
    <row r="4718">
      <c r="J4718" s="9"/>
      <c r="K4718" s="9"/>
      <c r="L4718" s="9"/>
      <c r="M4718" s="9"/>
    </row>
    <row r="4719">
      <c r="J4719" s="9"/>
      <c r="K4719" s="9"/>
      <c r="L4719" s="9"/>
      <c r="M4719" s="9"/>
    </row>
    <row r="4720">
      <c r="J4720" s="9"/>
      <c r="K4720" s="9"/>
      <c r="L4720" s="9"/>
      <c r="M4720" s="9"/>
    </row>
    <row r="4721">
      <c r="J4721" s="9"/>
      <c r="K4721" s="9"/>
      <c r="L4721" s="9"/>
      <c r="M4721" s="9"/>
    </row>
    <row r="4722">
      <c r="J4722" s="9"/>
      <c r="K4722" s="9"/>
      <c r="L4722" s="9"/>
      <c r="M4722" s="9"/>
    </row>
    <row r="4723">
      <c r="J4723" s="9"/>
      <c r="K4723" s="9"/>
      <c r="L4723" s="9"/>
      <c r="M4723" s="9"/>
    </row>
    <row r="4724">
      <c r="J4724" s="9"/>
      <c r="K4724" s="9"/>
      <c r="L4724" s="9"/>
      <c r="M4724" s="9"/>
    </row>
    <row r="4725">
      <c r="J4725" s="9"/>
      <c r="K4725" s="9"/>
      <c r="L4725" s="9"/>
      <c r="M4725" s="9"/>
    </row>
    <row r="4726">
      <c r="J4726" s="9"/>
      <c r="K4726" s="9"/>
      <c r="L4726" s="9"/>
      <c r="M4726" s="9"/>
    </row>
    <row r="4727">
      <c r="J4727" s="9"/>
      <c r="K4727" s="9"/>
      <c r="L4727" s="9"/>
      <c r="M4727" s="9"/>
    </row>
    <row r="4728">
      <c r="J4728" s="9"/>
      <c r="K4728" s="9"/>
      <c r="L4728" s="9"/>
      <c r="M4728" s="9"/>
    </row>
    <row r="4729">
      <c r="J4729" s="9"/>
      <c r="K4729" s="9"/>
      <c r="L4729" s="9"/>
      <c r="M4729" s="9"/>
    </row>
    <row r="4730">
      <c r="J4730" s="9"/>
      <c r="K4730" s="9"/>
      <c r="L4730" s="9"/>
      <c r="M4730" s="9"/>
    </row>
    <row r="4731">
      <c r="J4731" s="9"/>
      <c r="K4731" s="9"/>
      <c r="L4731" s="9"/>
      <c r="M4731" s="9"/>
    </row>
    <row r="4732">
      <c r="J4732" s="9"/>
      <c r="K4732" s="9"/>
      <c r="L4732" s="9"/>
      <c r="M4732" s="9"/>
    </row>
    <row r="4733">
      <c r="J4733" s="9"/>
      <c r="K4733" s="9"/>
      <c r="L4733" s="9"/>
      <c r="M4733" s="9"/>
    </row>
    <row r="4734">
      <c r="J4734" s="9"/>
      <c r="K4734" s="9"/>
      <c r="L4734" s="9"/>
      <c r="M4734" s="9"/>
    </row>
    <row r="4735">
      <c r="J4735" s="9"/>
      <c r="K4735" s="9"/>
      <c r="L4735" s="9"/>
      <c r="M4735" s="9"/>
    </row>
    <row r="4736">
      <c r="J4736" s="9"/>
      <c r="K4736" s="9"/>
      <c r="L4736" s="9"/>
      <c r="M4736" s="9"/>
    </row>
    <row r="4737">
      <c r="J4737" s="9"/>
      <c r="K4737" s="9"/>
      <c r="L4737" s="9"/>
      <c r="M4737" s="9"/>
    </row>
    <row r="4738">
      <c r="J4738" s="9"/>
      <c r="K4738" s="9"/>
      <c r="L4738" s="9"/>
      <c r="M4738" s="9"/>
    </row>
    <row r="4739">
      <c r="J4739" s="9"/>
      <c r="K4739" s="9"/>
      <c r="L4739" s="9"/>
      <c r="M4739" s="9"/>
    </row>
    <row r="4740">
      <c r="J4740" s="9"/>
      <c r="K4740" s="9"/>
      <c r="L4740" s="9"/>
      <c r="M4740" s="9"/>
    </row>
    <row r="4741">
      <c r="J4741" s="9"/>
      <c r="K4741" s="9"/>
      <c r="L4741" s="9"/>
      <c r="M4741" s="9"/>
    </row>
    <row r="4742">
      <c r="J4742" s="9"/>
      <c r="K4742" s="9"/>
      <c r="L4742" s="9"/>
      <c r="M4742" s="9"/>
    </row>
    <row r="4743">
      <c r="J4743" s="9"/>
      <c r="K4743" s="9"/>
      <c r="L4743" s="9"/>
      <c r="M4743" s="9"/>
    </row>
    <row r="4744">
      <c r="J4744" s="9"/>
      <c r="K4744" s="9"/>
      <c r="L4744" s="9"/>
      <c r="M4744" s="9"/>
    </row>
    <row r="4745">
      <c r="J4745" s="9"/>
      <c r="K4745" s="9"/>
      <c r="L4745" s="9"/>
      <c r="M4745" s="9"/>
    </row>
    <row r="4746">
      <c r="J4746" s="9"/>
      <c r="K4746" s="9"/>
      <c r="L4746" s="9"/>
      <c r="M4746" s="9"/>
    </row>
    <row r="4747">
      <c r="J4747" s="9"/>
      <c r="K4747" s="9"/>
      <c r="L4747" s="9"/>
      <c r="M4747" s="9"/>
    </row>
    <row r="4748">
      <c r="J4748" s="9"/>
      <c r="K4748" s="9"/>
      <c r="L4748" s="9"/>
      <c r="M4748" s="9"/>
    </row>
    <row r="4749">
      <c r="J4749" s="9"/>
      <c r="K4749" s="9"/>
      <c r="L4749" s="9"/>
      <c r="M4749" s="9"/>
    </row>
    <row r="4750">
      <c r="J4750" s="9"/>
      <c r="K4750" s="9"/>
      <c r="L4750" s="9"/>
      <c r="M4750" s="9"/>
    </row>
    <row r="4751">
      <c r="J4751" s="9"/>
      <c r="K4751" s="9"/>
      <c r="L4751" s="9"/>
      <c r="M4751" s="9"/>
    </row>
    <row r="4752">
      <c r="J4752" s="9"/>
      <c r="K4752" s="9"/>
      <c r="L4752" s="9"/>
      <c r="M4752" s="9"/>
    </row>
    <row r="4753">
      <c r="J4753" s="9"/>
      <c r="K4753" s="9"/>
      <c r="L4753" s="9"/>
      <c r="M4753" s="9"/>
    </row>
    <row r="4754">
      <c r="J4754" s="9"/>
      <c r="K4754" s="9"/>
      <c r="L4754" s="9"/>
      <c r="M4754" s="9"/>
    </row>
    <row r="4755">
      <c r="J4755" s="9"/>
      <c r="K4755" s="9"/>
      <c r="L4755" s="9"/>
      <c r="M4755" s="9"/>
    </row>
    <row r="4756">
      <c r="J4756" s="9"/>
      <c r="K4756" s="9"/>
      <c r="L4756" s="9"/>
      <c r="M4756" s="9"/>
    </row>
    <row r="4757">
      <c r="J4757" s="9"/>
      <c r="K4757" s="9"/>
      <c r="L4757" s="9"/>
      <c r="M4757" s="9"/>
    </row>
    <row r="4758">
      <c r="J4758" s="9"/>
      <c r="K4758" s="9"/>
      <c r="L4758" s="9"/>
      <c r="M4758" s="9"/>
    </row>
    <row r="4759">
      <c r="J4759" s="9"/>
      <c r="K4759" s="9"/>
      <c r="L4759" s="9"/>
      <c r="M4759" s="9"/>
    </row>
    <row r="4760">
      <c r="J4760" s="9"/>
      <c r="K4760" s="9"/>
      <c r="L4760" s="9"/>
      <c r="M4760" s="9"/>
    </row>
    <row r="4761">
      <c r="J4761" s="9"/>
      <c r="K4761" s="9"/>
      <c r="L4761" s="9"/>
      <c r="M4761" s="9"/>
    </row>
    <row r="4762">
      <c r="J4762" s="9"/>
      <c r="K4762" s="9"/>
      <c r="L4762" s="9"/>
      <c r="M4762" s="9"/>
    </row>
    <row r="4763">
      <c r="J4763" s="9"/>
      <c r="K4763" s="9"/>
      <c r="L4763" s="9"/>
      <c r="M4763" s="9"/>
    </row>
    <row r="4764">
      <c r="J4764" s="9"/>
      <c r="K4764" s="9"/>
      <c r="L4764" s="9"/>
      <c r="M4764" s="9"/>
    </row>
    <row r="4765">
      <c r="J4765" s="9"/>
      <c r="K4765" s="9"/>
      <c r="L4765" s="9"/>
      <c r="M4765" s="9"/>
    </row>
    <row r="4766">
      <c r="J4766" s="9"/>
      <c r="K4766" s="9"/>
      <c r="L4766" s="9"/>
      <c r="M4766" s="9"/>
    </row>
    <row r="4767">
      <c r="J4767" s="9"/>
      <c r="K4767" s="9"/>
      <c r="L4767" s="9"/>
      <c r="M4767" s="9"/>
    </row>
    <row r="4768">
      <c r="J4768" s="9"/>
      <c r="K4768" s="9"/>
      <c r="L4768" s="9"/>
      <c r="M4768" s="9"/>
    </row>
    <row r="4769">
      <c r="J4769" s="9"/>
      <c r="K4769" s="9"/>
      <c r="L4769" s="9"/>
      <c r="M4769" s="9"/>
    </row>
    <row r="4770">
      <c r="J4770" s="9"/>
      <c r="K4770" s="9"/>
      <c r="L4770" s="9"/>
      <c r="M4770" s="9"/>
    </row>
    <row r="4771">
      <c r="J4771" s="9"/>
      <c r="K4771" s="9"/>
      <c r="L4771" s="9"/>
      <c r="M4771" s="9"/>
    </row>
    <row r="4772">
      <c r="J4772" s="9"/>
      <c r="K4772" s="9"/>
      <c r="L4772" s="9"/>
      <c r="M4772" s="9"/>
    </row>
    <row r="4773">
      <c r="J4773" s="9"/>
      <c r="K4773" s="9"/>
      <c r="L4773" s="9"/>
      <c r="M4773" s="9"/>
    </row>
    <row r="4774">
      <c r="J4774" s="9"/>
      <c r="K4774" s="9"/>
      <c r="L4774" s="9"/>
      <c r="M4774" s="9"/>
    </row>
    <row r="4775">
      <c r="J4775" s="9"/>
      <c r="K4775" s="9"/>
      <c r="L4775" s="9"/>
      <c r="M4775" s="9"/>
    </row>
    <row r="4776">
      <c r="J4776" s="9"/>
      <c r="K4776" s="9"/>
      <c r="L4776" s="9"/>
      <c r="M4776" s="9"/>
    </row>
    <row r="4777">
      <c r="J4777" s="9"/>
      <c r="K4777" s="9"/>
      <c r="L4777" s="9"/>
      <c r="M4777" s="9"/>
    </row>
    <row r="4778">
      <c r="J4778" s="9"/>
      <c r="K4778" s="9"/>
      <c r="L4778" s="9"/>
      <c r="M4778" s="9"/>
    </row>
    <row r="4779">
      <c r="J4779" s="9"/>
      <c r="K4779" s="9"/>
      <c r="L4779" s="9"/>
      <c r="M4779" s="9"/>
    </row>
    <row r="4780">
      <c r="J4780" s="9"/>
      <c r="K4780" s="9"/>
      <c r="L4780" s="9"/>
      <c r="M4780" s="9"/>
    </row>
    <row r="4781">
      <c r="J4781" s="9"/>
      <c r="K4781" s="9"/>
      <c r="L4781" s="9"/>
      <c r="M4781" s="9"/>
    </row>
    <row r="4782">
      <c r="J4782" s="9"/>
      <c r="K4782" s="9"/>
      <c r="L4782" s="9"/>
      <c r="M4782" s="9"/>
    </row>
    <row r="4783">
      <c r="J4783" s="9"/>
      <c r="K4783" s="9"/>
      <c r="L4783" s="9"/>
      <c r="M4783" s="9"/>
    </row>
    <row r="4784">
      <c r="J4784" s="9"/>
      <c r="K4784" s="9"/>
      <c r="L4784" s="9"/>
      <c r="M4784" s="9"/>
    </row>
    <row r="4785">
      <c r="J4785" s="9"/>
      <c r="K4785" s="9"/>
      <c r="L4785" s="9"/>
      <c r="M4785" s="9"/>
    </row>
    <row r="4786">
      <c r="J4786" s="9"/>
      <c r="K4786" s="9"/>
      <c r="L4786" s="9"/>
      <c r="M4786" s="9"/>
    </row>
    <row r="4787">
      <c r="J4787" s="9"/>
      <c r="K4787" s="9"/>
      <c r="L4787" s="9"/>
      <c r="M4787" s="9"/>
    </row>
    <row r="4788">
      <c r="J4788" s="9"/>
      <c r="K4788" s="9"/>
      <c r="L4788" s="9"/>
      <c r="M4788" s="9"/>
    </row>
    <row r="4789">
      <c r="J4789" s="9"/>
      <c r="K4789" s="9"/>
      <c r="L4789" s="9"/>
      <c r="M4789" s="9"/>
    </row>
    <row r="4790">
      <c r="J4790" s="9"/>
      <c r="K4790" s="9"/>
      <c r="L4790" s="9"/>
      <c r="M4790" s="9"/>
    </row>
    <row r="4791">
      <c r="J4791" s="9"/>
      <c r="K4791" s="9"/>
      <c r="L4791" s="9"/>
      <c r="M4791" s="9"/>
    </row>
    <row r="4792">
      <c r="J4792" s="9"/>
      <c r="K4792" s="9"/>
      <c r="L4792" s="9"/>
      <c r="M4792" s="9"/>
    </row>
    <row r="4793">
      <c r="J4793" s="9"/>
      <c r="K4793" s="9"/>
      <c r="L4793" s="9"/>
      <c r="M4793" s="9"/>
    </row>
    <row r="4794">
      <c r="J4794" s="9"/>
      <c r="K4794" s="9"/>
      <c r="L4794" s="9"/>
      <c r="M4794" s="9"/>
    </row>
    <row r="4795">
      <c r="J4795" s="9"/>
      <c r="K4795" s="9"/>
      <c r="L4795" s="9"/>
      <c r="M4795" s="9"/>
    </row>
    <row r="4796">
      <c r="J4796" s="9"/>
      <c r="K4796" s="9"/>
      <c r="L4796" s="9"/>
      <c r="M4796" s="9"/>
    </row>
    <row r="4797">
      <c r="J4797" s="9"/>
      <c r="K4797" s="9"/>
      <c r="L4797" s="9"/>
      <c r="M4797" s="9"/>
    </row>
    <row r="4798">
      <c r="J4798" s="9"/>
      <c r="K4798" s="9"/>
      <c r="L4798" s="9"/>
      <c r="M4798" s="9"/>
    </row>
    <row r="4799">
      <c r="J4799" s="9"/>
      <c r="K4799" s="9"/>
      <c r="L4799" s="9"/>
      <c r="M4799" s="9"/>
    </row>
    <row r="4800">
      <c r="J4800" s="9"/>
      <c r="K4800" s="9"/>
      <c r="L4800" s="9"/>
      <c r="M4800" s="9"/>
    </row>
    <row r="4801">
      <c r="J4801" s="9"/>
      <c r="K4801" s="9"/>
      <c r="L4801" s="9"/>
      <c r="M4801" s="9"/>
    </row>
    <row r="4802">
      <c r="J4802" s="9"/>
      <c r="K4802" s="9"/>
      <c r="L4802" s="9"/>
      <c r="M4802" s="9"/>
    </row>
    <row r="4803">
      <c r="J4803" s="9"/>
      <c r="K4803" s="9"/>
      <c r="L4803" s="9"/>
      <c r="M4803" s="9"/>
    </row>
    <row r="4804">
      <c r="J4804" s="9"/>
      <c r="K4804" s="9"/>
      <c r="L4804" s="9"/>
      <c r="M4804" s="9"/>
    </row>
    <row r="4805">
      <c r="J4805" s="9"/>
      <c r="K4805" s="9"/>
      <c r="L4805" s="9"/>
      <c r="M4805" s="9"/>
    </row>
    <row r="4806">
      <c r="J4806" s="9"/>
      <c r="K4806" s="9"/>
      <c r="L4806" s="9"/>
      <c r="M4806" s="9"/>
    </row>
    <row r="4807">
      <c r="J4807" s="9"/>
      <c r="K4807" s="9"/>
      <c r="L4807" s="9"/>
      <c r="M4807" s="9"/>
    </row>
    <row r="4808">
      <c r="J4808" s="9"/>
      <c r="K4808" s="9"/>
      <c r="L4808" s="9"/>
      <c r="M4808" s="9"/>
    </row>
    <row r="4809">
      <c r="J4809" s="9"/>
      <c r="K4809" s="9"/>
      <c r="L4809" s="9"/>
      <c r="M4809" s="9"/>
    </row>
    <row r="4810">
      <c r="J4810" s="9"/>
      <c r="K4810" s="9"/>
      <c r="L4810" s="9"/>
      <c r="M4810" s="9"/>
    </row>
    <row r="4811">
      <c r="J4811" s="9"/>
      <c r="K4811" s="9"/>
      <c r="L4811" s="9"/>
      <c r="M4811" s="9"/>
    </row>
    <row r="4812">
      <c r="J4812" s="9"/>
      <c r="K4812" s="9"/>
      <c r="L4812" s="9"/>
      <c r="M4812" s="9"/>
    </row>
    <row r="4813">
      <c r="J4813" s="9"/>
      <c r="K4813" s="9"/>
      <c r="L4813" s="9"/>
      <c r="M4813" s="9"/>
    </row>
    <row r="4814">
      <c r="J4814" s="9"/>
      <c r="K4814" s="9"/>
      <c r="L4814" s="9"/>
      <c r="M4814" s="9"/>
    </row>
    <row r="4815">
      <c r="J4815" s="9"/>
      <c r="K4815" s="9"/>
      <c r="L4815" s="9"/>
      <c r="M4815" s="9"/>
    </row>
    <row r="4816">
      <c r="J4816" s="9"/>
      <c r="K4816" s="9"/>
      <c r="L4816" s="9"/>
      <c r="M4816" s="9"/>
    </row>
    <row r="4817">
      <c r="J4817" s="9"/>
      <c r="K4817" s="9"/>
      <c r="L4817" s="9"/>
      <c r="M4817" s="9"/>
    </row>
    <row r="4818">
      <c r="J4818" s="9"/>
      <c r="K4818" s="9"/>
      <c r="L4818" s="9"/>
      <c r="M4818" s="9"/>
    </row>
    <row r="4819">
      <c r="J4819" s="9"/>
      <c r="K4819" s="9"/>
      <c r="L4819" s="9"/>
      <c r="M4819" s="9"/>
    </row>
    <row r="4820">
      <c r="J4820" s="9"/>
      <c r="K4820" s="9"/>
      <c r="L4820" s="9"/>
      <c r="M4820" s="9"/>
    </row>
    <row r="4821">
      <c r="J4821" s="9"/>
      <c r="K4821" s="9"/>
      <c r="L4821" s="9"/>
      <c r="M4821" s="9"/>
    </row>
    <row r="4822">
      <c r="J4822" s="9"/>
      <c r="K4822" s="9"/>
      <c r="L4822" s="9"/>
      <c r="M4822" s="9"/>
    </row>
    <row r="4823">
      <c r="J4823" s="9"/>
      <c r="K4823" s="9"/>
      <c r="L4823" s="9"/>
      <c r="M4823" s="9"/>
    </row>
    <row r="4824">
      <c r="J4824" s="9"/>
      <c r="K4824" s="9"/>
      <c r="L4824" s="9"/>
      <c r="M4824" s="9"/>
    </row>
    <row r="4825">
      <c r="J4825" s="9"/>
      <c r="K4825" s="9"/>
      <c r="L4825" s="9"/>
      <c r="M4825" s="9"/>
    </row>
    <row r="4826">
      <c r="J4826" s="9"/>
      <c r="K4826" s="9"/>
      <c r="L4826" s="9"/>
      <c r="M4826" s="9"/>
    </row>
    <row r="4827">
      <c r="J4827" s="9"/>
      <c r="K4827" s="9"/>
      <c r="L4827" s="9"/>
      <c r="M4827" s="9"/>
    </row>
    <row r="4828">
      <c r="J4828" s="9"/>
      <c r="K4828" s="9"/>
      <c r="L4828" s="9"/>
      <c r="M4828" s="9"/>
    </row>
    <row r="4829">
      <c r="J4829" s="9"/>
      <c r="K4829" s="9"/>
      <c r="L4829" s="9"/>
      <c r="M4829" s="9"/>
    </row>
    <row r="4830">
      <c r="J4830" s="9"/>
      <c r="K4830" s="9"/>
      <c r="L4830" s="9"/>
      <c r="M4830" s="9"/>
    </row>
    <row r="4831">
      <c r="J4831" s="9"/>
      <c r="K4831" s="9"/>
      <c r="L4831" s="9"/>
      <c r="M4831" s="9"/>
    </row>
    <row r="4832">
      <c r="J4832" s="9"/>
      <c r="K4832" s="9"/>
      <c r="L4832" s="9"/>
      <c r="M4832" s="9"/>
    </row>
    <row r="4833">
      <c r="J4833" s="9"/>
      <c r="K4833" s="9"/>
      <c r="L4833" s="9"/>
      <c r="M4833" s="9"/>
    </row>
    <row r="4834">
      <c r="J4834" s="9"/>
      <c r="K4834" s="9"/>
      <c r="L4834" s="9"/>
      <c r="M4834" s="9"/>
    </row>
    <row r="4835">
      <c r="J4835" s="9"/>
      <c r="K4835" s="9"/>
      <c r="L4835" s="9"/>
      <c r="M4835" s="9"/>
    </row>
    <row r="4836">
      <c r="J4836" s="9"/>
      <c r="K4836" s="9"/>
      <c r="L4836" s="9"/>
      <c r="M4836" s="9"/>
    </row>
    <row r="4837">
      <c r="J4837" s="9"/>
      <c r="K4837" s="9"/>
      <c r="L4837" s="9"/>
      <c r="M4837" s="9"/>
    </row>
    <row r="4838">
      <c r="J4838" s="9"/>
      <c r="K4838" s="9"/>
      <c r="L4838" s="9"/>
      <c r="M4838" s="9"/>
    </row>
    <row r="4839">
      <c r="J4839" s="9"/>
      <c r="K4839" s="9"/>
      <c r="L4839" s="9"/>
      <c r="M4839" s="9"/>
    </row>
    <row r="4840">
      <c r="J4840" s="9"/>
      <c r="K4840" s="9"/>
      <c r="L4840" s="9"/>
      <c r="M4840" s="9"/>
    </row>
    <row r="4841">
      <c r="J4841" s="9"/>
      <c r="K4841" s="9"/>
      <c r="L4841" s="9"/>
      <c r="M4841" s="9"/>
    </row>
    <row r="4842">
      <c r="J4842" s="9"/>
      <c r="K4842" s="9"/>
      <c r="L4842" s="9"/>
      <c r="M4842" s="9"/>
    </row>
    <row r="4843">
      <c r="J4843" s="9"/>
      <c r="K4843" s="9"/>
      <c r="L4843" s="9"/>
      <c r="M4843" s="9"/>
    </row>
    <row r="4844">
      <c r="J4844" s="9"/>
      <c r="K4844" s="9"/>
      <c r="L4844" s="9"/>
      <c r="M4844" s="9"/>
    </row>
    <row r="4845">
      <c r="J4845" s="9"/>
      <c r="K4845" s="9"/>
      <c r="L4845" s="9"/>
      <c r="M4845" s="9"/>
    </row>
    <row r="4846">
      <c r="J4846" s="9"/>
      <c r="K4846" s="9"/>
      <c r="L4846" s="9"/>
      <c r="M4846" s="9"/>
    </row>
    <row r="4847">
      <c r="J4847" s="9"/>
      <c r="K4847" s="9"/>
      <c r="L4847" s="9"/>
      <c r="M4847" s="9"/>
    </row>
    <row r="4848">
      <c r="J4848" s="9"/>
      <c r="K4848" s="9"/>
      <c r="L4848" s="9"/>
      <c r="M4848" s="9"/>
    </row>
    <row r="4849">
      <c r="J4849" s="9"/>
      <c r="K4849" s="9"/>
      <c r="L4849" s="9"/>
      <c r="M4849" s="9"/>
    </row>
    <row r="4850">
      <c r="J4850" s="9"/>
      <c r="K4850" s="9"/>
      <c r="L4850" s="9"/>
      <c r="M4850" s="9"/>
    </row>
    <row r="4851">
      <c r="J4851" s="9"/>
      <c r="K4851" s="9"/>
      <c r="L4851" s="9"/>
      <c r="M4851" s="9"/>
    </row>
    <row r="4852">
      <c r="J4852" s="9"/>
      <c r="K4852" s="9"/>
      <c r="L4852" s="9"/>
      <c r="M4852" s="9"/>
    </row>
    <row r="4853">
      <c r="J4853" s="9"/>
      <c r="K4853" s="9"/>
      <c r="L4853" s="9"/>
      <c r="M4853" s="9"/>
    </row>
    <row r="4854">
      <c r="J4854" s="9"/>
      <c r="K4854" s="9"/>
      <c r="L4854" s="9"/>
      <c r="M4854" s="9"/>
    </row>
    <row r="4855">
      <c r="J4855" s="9"/>
      <c r="K4855" s="9"/>
      <c r="L4855" s="9"/>
      <c r="M4855" s="9"/>
    </row>
    <row r="4856">
      <c r="J4856" s="9"/>
      <c r="K4856" s="9"/>
      <c r="L4856" s="9"/>
      <c r="M4856" s="9"/>
    </row>
    <row r="4857">
      <c r="J4857" s="9"/>
      <c r="K4857" s="9"/>
      <c r="L4857" s="9"/>
      <c r="M4857" s="9"/>
    </row>
    <row r="4858">
      <c r="J4858" s="9"/>
      <c r="K4858" s="9"/>
      <c r="L4858" s="9"/>
      <c r="M4858" s="9"/>
    </row>
    <row r="4859">
      <c r="J4859" s="9"/>
      <c r="K4859" s="9"/>
      <c r="L4859" s="9"/>
      <c r="M4859" s="9"/>
    </row>
    <row r="4860">
      <c r="J4860" s="9"/>
      <c r="K4860" s="9"/>
      <c r="L4860" s="9"/>
      <c r="M4860" s="9"/>
    </row>
    <row r="4861">
      <c r="J4861" s="9"/>
      <c r="K4861" s="9"/>
      <c r="L4861" s="9"/>
      <c r="M4861" s="9"/>
    </row>
    <row r="4862">
      <c r="J4862" s="9"/>
      <c r="K4862" s="9"/>
      <c r="L4862" s="9"/>
      <c r="M4862" s="9"/>
    </row>
    <row r="4863">
      <c r="J4863" s="9"/>
      <c r="K4863" s="9"/>
      <c r="L4863" s="9"/>
      <c r="M4863" s="9"/>
    </row>
    <row r="4864">
      <c r="J4864" s="9"/>
      <c r="K4864" s="9"/>
      <c r="L4864" s="9"/>
      <c r="M4864" s="9"/>
    </row>
    <row r="4865">
      <c r="J4865" s="9"/>
      <c r="K4865" s="9"/>
      <c r="L4865" s="9"/>
      <c r="M4865" s="9"/>
    </row>
    <row r="4866">
      <c r="J4866" s="9"/>
      <c r="K4866" s="9"/>
      <c r="L4866" s="9"/>
      <c r="M4866" s="9"/>
    </row>
    <row r="4867">
      <c r="J4867" s="9"/>
      <c r="K4867" s="9"/>
      <c r="L4867" s="9"/>
      <c r="M4867" s="9"/>
    </row>
    <row r="4868">
      <c r="J4868" s="9"/>
      <c r="K4868" s="9"/>
      <c r="L4868" s="9"/>
      <c r="M4868" s="9"/>
    </row>
    <row r="4869">
      <c r="J4869" s="9"/>
      <c r="K4869" s="9"/>
      <c r="L4869" s="9"/>
      <c r="M4869" s="9"/>
    </row>
    <row r="4870">
      <c r="J4870" s="9"/>
      <c r="K4870" s="9"/>
      <c r="L4870" s="9"/>
      <c r="M4870" s="9"/>
    </row>
    <row r="4871">
      <c r="J4871" s="9"/>
      <c r="K4871" s="9"/>
      <c r="L4871" s="9"/>
      <c r="M4871" s="9"/>
    </row>
    <row r="4872">
      <c r="J4872" s="9"/>
      <c r="K4872" s="9"/>
      <c r="L4872" s="9"/>
      <c r="M4872" s="9"/>
    </row>
    <row r="4873">
      <c r="J4873" s="9"/>
      <c r="K4873" s="9"/>
      <c r="L4873" s="9"/>
      <c r="M4873" s="9"/>
    </row>
    <row r="4874">
      <c r="J4874" s="9"/>
      <c r="K4874" s="9"/>
      <c r="L4874" s="9"/>
      <c r="M4874" s="9"/>
    </row>
    <row r="4875">
      <c r="J4875" s="9"/>
      <c r="K4875" s="9"/>
      <c r="L4875" s="9"/>
      <c r="M4875" s="9"/>
    </row>
    <row r="4876">
      <c r="J4876" s="9"/>
      <c r="K4876" s="9"/>
      <c r="L4876" s="9"/>
      <c r="M4876" s="9"/>
    </row>
    <row r="4877">
      <c r="J4877" s="9"/>
      <c r="K4877" s="9"/>
      <c r="L4877" s="9"/>
      <c r="M4877" s="9"/>
    </row>
    <row r="4878">
      <c r="J4878" s="9"/>
      <c r="K4878" s="9"/>
      <c r="L4878" s="9"/>
      <c r="M4878" s="9"/>
    </row>
    <row r="4879">
      <c r="J4879" s="9"/>
      <c r="K4879" s="9"/>
      <c r="L4879" s="9"/>
      <c r="M4879" s="9"/>
    </row>
    <row r="4880">
      <c r="J4880" s="9"/>
      <c r="K4880" s="9"/>
      <c r="L4880" s="9"/>
      <c r="M4880" s="9"/>
    </row>
    <row r="4881">
      <c r="J4881" s="9"/>
      <c r="K4881" s="9"/>
      <c r="L4881" s="9"/>
      <c r="M4881" s="9"/>
    </row>
    <row r="4882">
      <c r="J4882" s="9"/>
      <c r="K4882" s="9"/>
      <c r="L4882" s="9"/>
      <c r="M4882" s="9"/>
    </row>
    <row r="4883">
      <c r="J4883" s="9"/>
      <c r="K4883" s="9"/>
      <c r="L4883" s="9"/>
      <c r="M4883" s="9"/>
    </row>
    <row r="4884">
      <c r="J4884" s="9"/>
      <c r="K4884" s="9"/>
      <c r="L4884" s="9"/>
      <c r="M4884" s="9"/>
    </row>
    <row r="4885">
      <c r="J4885" s="9"/>
      <c r="K4885" s="9"/>
      <c r="L4885" s="9"/>
      <c r="M4885" s="9"/>
    </row>
    <row r="4886">
      <c r="J4886" s="9"/>
      <c r="K4886" s="9"/>
      <c r="L4886" s="9"/>
      <c r="M4886" s="9"/>
    </row>
    <row r="4887">
      <c r="J4887" s="9"/>
      <c r="K4887" s="9"/>
      <c r="L4887" s="9"/>
      <c r="M4887" s="9"/>
    </row>
    <row r="4888">
      <c r="J4888" s="9"/>
      <c r="K4888" s="9"/>
      <c r="L4888" s="9"/>
      <c r="M4888" s="9"/>
    </row>
    <row r="4889">
      <c r="J4889" s="9"/>
      <c r="K4889" s="9"/>
      <c r="L4889" s="9"/>
      <c r="M4889" s="9"/>
    </row>
    <row r="4890">
      <c r="J4890" s="9"/>
      <c r="K4890" s="9"/>
      <c r="L4890" s="9"/>
      <c r="M4890" s="9"/>
    </row>
    <row r="4891">
      <c r="J4891" s="9"/>
      <c r="K4891" s="9"/>
      <c r="L4891" s="9"/>
      <c r="M4891" s="9"/>
    </row>
    <row r="4892">
      <c r="J4892" s="9"/>
      <c r="K4892" s="9"/>
      <c r="L4892" s="9"/>
      <c r="M4892" s="9"/>
    </row>
    <row r="4893">
      <c r="J4893" s="9"/>
      <c r="K4893" s="9"/>
      <c r="L4893" s="9"/>
      <c r="M4893" s="9"/>
    </row>
    <row r="4894">
      <c r="J4894" s="9"/>
      <c r="K4894" s="9"/>
      <c r="L4894" s="9"/>
      <c r="M4894" s="9"/>
    </row>
    <row r="4895">
      <c r="J4895" s="9"/>
      <c r="K4895" s="9"/>
      <c r="L4895" s="9"/>
      <c r="M4895" s="9"/>
    </row>
    <row r="4896">
      <c r="J4896" s="9"/>
      <c r="K4896" s="9"/>
      <c r="L4896" s="9"/>
      <c r="M4896" s="9"/>
    </row>
    <row r="4897">
      <c r="J4897" s="9"/>
      <c r="K4897" s="9"/>
      <c r="L4897" s="9"/>
      <c r="M4897" s="9"/>
    </row>
    <row r="4898">
      <c r="J4898" s="9"/>
      <c r="K4898" s="9"/>
      <c r="L4898" s="9"/>
      <c r="M4898" s="9"/>
    </row>
    <row r="4899">
      <c r="J4899" s="9"/>
      <c r="K4899" s="9"/>
      <c r="L4899" s="9"/>
      <c r="M4899" s="9"/>
    </row>
    <row r="4900">
      <c r="J4900" s="9"/>
      <c r="K4900" s="9"/>
      <c r="L4900" s="9"/>
      <c r="M4900" s="9"/>
    </row>
    <row r="4901">
      <c r="J4901" s="9"/>
      <c r="K4901" s="9"/>
      <c r="L4901" s="9"/>
      <c r="M4901" s="9"/>
    </row>
    <row r="4902">
      <c r="J4902" s="9"/>
      <c r="K4902" s="9"/>
      <c r="L4902" s="9"/>
      <c r="M4902" s="9"/>
    </row>
    <row r="4903">
      <c r="J4903" s="9"/>
      <c r="K4903" s="9"/>
      <c r="L4903" s="9"/>
      <c r="M4903" s="9"/>
    </row>
    <row r="4904">
      <c r="J4904" s="9"/>
      <c r="K4904" s="9"/>
      <c r="L4904" s="9"/>
      <c r="M4904" s="9"/>
    </row>
    <row r="4905">
      <c r="J4905" s="9"/>
      <c r="K4905" s="9"/>
      <c r="L4905" s="9"/>
      <c r="M4905" s="9"/>
    </row>
    <row r="4906">
      <c r="J4906" s="9"/>
      <c r="K4906" s="9"/>
      <c r="L4906" s="9"/>
      <c r="M4906" s="9"/>
    </row>
    <row r="4907">
      <c r="J4907" s="9"/>
      <c r="K4907" s="9"/>
      <c r="L4907" s="9"/>
      <c r="M4907" s="9"/>
    </row>
    <row r="4908">
      <c r="J4908" s="9"/>
      <c r="K4908" s="9"/>
      <c r="L4908" s="9"/>
      <c r="M4908" s="9"/>
    </row>
    <row r="4909">
      <c r="J4909" s="9"/>
      <c r="K4909" s="9"/>
      <c r="L4909" s="9"/>
      <c r="M4909" s="9"/>
    </row>
    <row r="4910">
      <c r="J4910" s="9"/>
      <c r="K4910" s="9"/>
      <c r="L4910" s="9"/>
      <c r="M4910" s="9"/>
    </row>
    <row r="4911">
      <c r="J4911" s="9"/>
      <c r="K4911" s="9"/>
      <c r="L4911" s="9"/>
      <c r="M4911" s="9"/>
    </row>
    <row r="4912">
      <c r="J4912" s="9"/>
      <c r="K4912" s="9"/>
      <c r="L4912" s="9"/>
      <c r="M4912" s="9"/>
    </row>
    <row r="4913">
      <c r="J4913" s="9"/>
      <c r="K4913" s="9"/>
      <c r="L4913" s="9"/>
      <c r="M4913" s="9"/>
    </row>
    <row r="4914">
      <c r="J4914" s="9"/>
      <c r="K4914" s="9"/>
      <c r="L4914" s="9"/>
      <c r="M4914" s="9"/>
    </row>
    <row r="4915">
      <c r="J4915" s="9"/>
      <c r="K4915" s="9"/>
      <c r="L4915" s="9"/>
      <c r="M4915" s="9"/>
    </row>
    <row r="4916">
      <c r="J4916" s="9"/>
      <c r="K4916" s="9"/>
      <c r="L4916" s="9"/>
      <c r="M4916" s="9"/>
    </row>
    <row r="4917">
      <c r="J4917" s="9"/>
      <c r="K4917" s="9"/>
      <c r="L4917" s="9"/>
      <c r="M4917" s="9"/>
    </row>
    <row r="4918">
      <c r="J4918" s="9"/>
      <c r="K4918" s="9"/>
      <c r="L4918" s="9"/>
      <c r="M4918" s="9"/>
    </row>
    <row r="4919">
      <c r="J4919" s="9"/>
      <c r="K4919" s="9"/>
      <c r="L4919" s="9"/>
      <c r="M4919" s="9"/>
    </row>
    <row r="4920">
      <c r="J4920" s="9"/>
      <c r="K4920" s="9"/>
      <c r="L4920" s="9"/>
      <c r="M4920" s="9"/>
    </row>
    <row r="4921">
      <c r="J4921" s="9"/>
      <c r="K4921" s="9"/>
      <c r="L4921" s="9"/>
      <c r="M4921" s="9"/>
    </row>
    <row r="4922">
      <c r="J4922" s="9"/>
      <c r="K4922" s="9"/>
      <c r="L4922" s="9"/>
      <c r="M4922" s="9"/>
    </row>
    <row r="4923">
      <c r="J4923" s="9"/>
      <c r="K4923" s="9"/>
      <c r="L4923" s="9"/>
      <c r="M4923" s="9"/>
    </row>
    <row r="4924">
      <c r="J4924" s="9"/>
      <c r="K4924" s="9"/>
      <c r="L4924" s="9"/>
      <c r="M4924" s="9"/>
    </row>
    <row r="4925">
      <c r="J4925" s="9"/>
      <c r="K4925" s="9"/>
      <c r="L4925" s="9"/>
      <c r="M4925" s="9"/>
    </row>
    <row r="4926">
      <c r="J4926" s="9"/>
      <c r="K4926" s="9"/>
      <c r="L4926" s="9"/>
      <c r="M4926" s="9"/>
    </row>
    <row r="4927">
      <c r="J4927" s="9"/>
      <c r="K4927" s="9"/>
      <c r="L4927" s="9"/>
      <c r="M4927" s="9"/>
    </row>
    <row r="4928">
      <c r="J4928" s="9"/>
      <c r="K4928" s="9"/>
      <c r="L4928" s="9"/>
      <c r="M4928" s="9"/>
    </row>
    <row r="4929">
      <c r="J4929" s="9"/>
      <c r="K4929" s="9"/>
      <c r="L4929" s="9"/>
      <c r="M4929" s="9"/>
    </row>
    <row r="4930">
      <c r="J4930" s="9"/>
      <c r="K4930" s="9"/>
      <c r="L4930" s="9"/>
      <c r="M4930" s="9"/>
    </row>
    <row r="4931">
      <c r="J4931" s="9"/>
      <c r="K4931" s="9"/>
      <c r="L4931" s="9"/>
      <c r="M4931" s="9"/>
    </row>
    <row r="4932">
      <c r="J4932" s="9"/>
      <c r="K4932" s="9"/>
      <c r="L4932" s="9"/>
      <c r="M4932" s="9"/>
    </row>
    <row r="4933">
      <c r="J4933" s="9"/>
      <c r="K4933" s="9"/>
      <c r="L4933" s="9"/>
      <c r="M4933" s="9"/>
    </row>
    <row r="4934">
      <c r="J4934" s="9"/>
      <c r="K4934" s="9"/>
      <c r="L4934" s="9"/>
      <c r="M4934" s="9"/>
    </row>
    <row r="4935">
      <c r="J4935" s="9"/>
      <c r="K4935" s="9"/>
      <c r="L4935" s="9"/>
      <c r="M4935" s="9"/>
    </row>
    <row r="4936">
      <c r="J4936" s="9"/>
      <c r="K4936" s="9"/>
      <c r="L4936" s="9"/>
      <c r="M4936" s="9"/>
    </row>
    <row r="4937">
      <c r="J4937" s="9"/>
      <c r="K4937" s="9"/>
      <c r="L4937" s="9"/>
      <c r="M4937" s="9"/>
    </row>
    <row r="4938">
      <c r="J4938" s="9"/>
      <c r="K4938" s="9"/>
      <c r="L4938" s="9"/>
      <c r="M4938" s="9"/>
    </row>
    <row r="4939">
      <c r="J4939" s="9"/>
      <c r="K4939" s="9"/>
      <c r="L4939" s="9"/>
      <c r="M4939" s="9"/>
    </row>
    <row r="4940">
      <c r="J4940" s="9"/>
      <c r="K4940" s="9"/>
      <c r="L4940" s="9"/>
      <c r="M4940" s="9"/>
    </row>
    <row r="4941">
      <c r="J4941" s="9"/>
      <c r="K4941" s="9"/>
      <c r="L4941" s="9"/>
      <c r="M4941" s="9"/>
    </row>
    <row r="4942">
      <c r="J4942" s="9"/>
      <c r="K4942" s="9"/>
      <c r="L4942" s="9"/>
      <c r="M4942" s="9"/>
    </row>
    <row r="4943">
      <c r="J4943" s="9"/>
      <c r="K4943" s="9"/>
      <c r="L4943" s="9"/>
      <c r="M4943" s="9"/>
    </row>
    <row r="4944">
      <c r="J4944" s="9"/>
      <c r="K4944" s="9"/>
      <c r="L4944" s="9"/>
      <c r="M4944" s="9"/>
    </row>
    <row r="4945">
      <c r="J4945" s="9"/>
      <c r="K4945" s="9"/>
      <c r="L4945" s="9"/>
      <c r="M4945" s="9"/>
    </row>
    <row r="4946">
      <c r="J4946" s="9"/>
      <c r="K4946" s="9"/>
      <c r="L4946" s="9"/>
      <c r="M4946" s="9"/>
    </row>
    <row r="4947">
      <c r="J4947" s="9"/>
      <c r="K4947" s="9"/>
      <c r="L4947" s="9"/>
      <c r="M4947" s="9"/>
    </row>
    <row r="4948">
      <c r="J4948" s="9"/>
      <c r="K4948" s="9"/>
      <c r="L4948" s="9"/>
      <c r="M4948" s="9"/>
    </row>
    <row r="4949">
      <c r="J4949" s="9"/>
      <c r="K4949" s="9"/>
      <c r="L4949" s="9"/>
      <c r="M4949" s="9"/>
    </row>
    <row r="4950">
      <c r="J4950" s="9"/>
      <c r="K4950" s="9"/>
      <c r="L4950" s="9"/>
      <c r="M4950" s="9"/>
    </row>
    <row r="4951">
      <c r="J4951" s="9"/>
      <c r="K4951" s="9"/>
      <c r="L4951" s="9"/>
      <c r="M4951" s="9"/>
    </row>
    <row r="4952">
      <c r="J4952" s="9"/>
      <c r="K4952" s="9"/>
      <c r="L4952" s="9"/>
      <c r="M4952" s="9"/>
    </row>
    <row r="4953">
      <c r="J4953" s="9"/>
      <c r="K4953" s="9"/>
      <c r="L4953" s="9"/>
      <c r="M4953" s="9"/>
    </row>
    <row r="4954">
      <c r="J4954" s="9"/>
      <c r="K4954" s="9"/>
      <c r="L4954" s="9"/>
      <c r="M4954" s="9"/>
    </row>
    <row r="4955">
      <c r="J4955" s="9"/>
      <c r="K4955" s="9"/>
      <c r="L4955" s="9"/>
      <c r="M4955" s="9"/>
    </row>
    <row r="4956">
      <c r="J4956" s="9"/>
      <c r="K4956" s="9"/>
      <c r="L4956" s="9"/>
      <c r="M4956" s="9"/>
    </row>
    <row r="4957">
      <c r="J4957" s="9"/>
      <c r="K4957" s="9"/>
      <c r="L4957" s="9"/>
      <c r="M4957" s="9"/>
    </row>
    <row r="4958">
      <c r="J4958" s="9"/>
      <c r="K4958" s="9"/>
      <c r="L4958" s="9"/>
      <c r="M4958" s="9"/>
    </row>
    <row r="4959">
      <c r="J4959" s="9"/>
      <c r="K4959" s="9"/>
      <c r="L4959" s="9"/>
      <c r="M4959" s="9"/>
    </row>
    <row r="4960">
      <c r="J4960" s="9"/>
      <c r="K4960" s="9"/>
      <c r="L4960" s="9"/>
      <c r="M4960" s="9"/>
    </row>
    <row r="4961">
      <c r="J4961" s="9"/>
      <c r="K4961" s="9"/>
      <c r="L4961" s="9"/>
      <c r="M4961" s="9"/>
    </row>
    <row r="4962">
      <c r="J4962" s="9"/>
      <c r="K4962" s="9"/>
      <c r="L4962" s="9"/>
      <c r="M4962" s="9"/>
    </row>
    <row r="4963">
      <c r="J4963" s="9"/>
      <c r="K4963" s="9"/>
      <c r="L4963" s="9"/>
      <c r="M4963" s="9"/>
    </row>
    <row r="4964">
      <c r="J4964" s="9"/>
      <c r="K4964" s="9"/>
      <c r="L4964" s="9"/>
      <c r="M4964" s="9"/>
    </row>
    <row r="4965">
      <c r="J4965" s="9"/>
      <c r="K4965" s="9"/>
      <c r="L4965" s="9"/>
      <c r="M4965" s="9"/>
    </row>
    <row r="4966">
      <c r="J4966" s="9"/>
      <c r="K4966" s="9"/>
      <c r="L4966" s="9"/>
      <c r="M4966" s="9"/>
    </row>
    <row r="4967">
      <c r="J4967" s="9"/>
      <c r="K4967" s="9"/>
      <c r="L4967" s="9"/>
      <c r="M4967" s="9"/>
    </row>
    <row r="4968">
      <c r="J4968" s="9"/>
      <c r="K4968" s="9"/>
      <c r="L4968" s="9"/>
      <c r="M4968" s="9"/>
    </row>
    <row r="4969">
      <c r="J4969" s="9"/>
      <c r="K4969" s="9"/>
      <c r="L4969" s="9"/>
      <c r="M4969" s="9"/>
    </row>
    <row r="4970">
      <c r="J4970" s="9"/>
      <c r="K4970" s="9"/>
      <c r="L4970" s="9"/>
      <c r="M4970" s="9"/>
    </row>
    <row r="4971">
      <c r="J4971" s="9"/>
      <c r="K4971" s="9"/>
      <c r="L4971" s="9"/>
      <c r="M4971" s="9"/>
    </row>
    <row r="4972">
      <c r="J4972" s="9"/>
      <c r="K4972" s="9"/>
      <c r="L4972" s="9"/>
      <c r="M4972" s="9"/>
    </row>
    <row r="4973">
      <c r="J4973" s="9"/>
      <c r="K4973" s="9"/>
      <c r="L4973" s="9"/>
      <c r="M4973" s="9"/>
    </row>
    <row r="4974">
      <c r="J4974" s="9"/>
      <c r="K4974" s="9"/>
      <c r="L4974" s="9"/>
      <c r="M4974" s="9"/>
    </row>
    <row r="4975">
      <c r="J4975" s="9"/>
      <c r="K4975" s="9"/>
      <c r="L4975" s="9"/>
      <c r="M4975" s="9"/>
    </row>
    <row r="4976">
      <c r="J4976" s="9"/>
      <c r="K4976" s="9"/>
      <c r="L4976" s="9"/>
      <c r="M4976" s="9"/>
    </row>
    <row r="4977">
      <c r="J4977" s="9"/>
      <c r="K4977" s="9"/>
      <c r="L4977" s="9"/>
      <c r="M4977" s="9"/>
    </row>
    <row r="4978">
      <c r="J4978" s="9"/>
      <c r="K4978" s="9"/>
      <c r="L4978" s="9"/>
      <c r="M4978" s="9"/>
    </row>
    <row r="4979">
      <c r="J4979" s="9"/>
      <c r="K4979" s="9"/>
      <c r="L4979" s="9"/>
      <c r="M4979" s="9"/>
    </row>
    <row r="4980">
      <c r="J4980" s="9"/>
      <c r="K4980" s="9"/>
      <c r="L4980" s="9"/>
      <c r="M4980" s="9"/>
    </row>
    <row r="4981">
      <c r="J4981" s="9"/>
      <c r="K4981" s="9"/>
      <c r="L4981" s="9"/>
      <c r="M4981" s="9"/>
    </row>
    <row r="4982">
      <c r="J4982" s="9"/>
      <c r="K4982" s="9"/>
      <c r="L4982" s="9"/>
      <c r="M4982" s="9"/>
    </row>
    <row r="4983">
      <c r="J4983" s="9"/>
      <c r="K4983" s="9"/>
      <c r="L4983" s="9"/>
      <c r="M4983" s="9"/>
    </row>
    <row r="4984">
      <c r="J4984" s="9"/>
      <c r="K4984" s="9"/>
      <c r="L4984" s="9"/>
      <c r="M4984" s="9"/>
    </row>
    <row r="4985">
      <c r="J4985" s="9"/>
      <c r="K4985" s="9"/>
      <c r="L4985" s="9"/>
      <c r="M4985" s="9"/>
    </row>
    <row r="4986">
      <c r="J4986" s="9"/>
      <c r="K4986" s="9"/>
      <c r="L4986" s="9"/>
      <c r="M4986" s="9"/>
    </row>
    <row r="4987">
      <c r="J4987" s="9"/>
      <c r="K4987" s="9"/>
      <c r="L4987" s="9"/>
      <c r="M4987" s="9"/>
    </row>
    <row r="4988">
      <c r="J4988" s="9"/>
      <c r="K4988" s="9"/>
      <c r="L4988" s="9"/>
      <c r="M4988" s="9"/>
    </row>
    <row r="4989">
      <c r="J4989" s="9"/>
      <c r="K4989" s="9"/>
      <c r="L4989" s="9"/>
      <c r="M4989" s="9"/>
    </row>
    <row r="4990">
      <c r="J4990" s="9"/>
      <c r="K4990" s="9"/>
      <c r="L4990" s="9"/>
      <c r="M4990" s="9"/>
    </row>
    <row r="4991">
      <c r="J4991" s="9"/>
      <c r="K4991" s="9"/>
      <c r="L4991" s="9"/>
      <c r="M4991" s="9"/>
    </row>
    <row r="4992">
      <c r="J4992" s="9"/>
      <c r="K4992" s="9"/>
      <c r="L4992" s="9"/>
      <c r="M4992" s="9"/>
    </row>
    <row r="4993">
      <c r="J4993" s="9"/>
      <c r="K4993" s="9"/>
      <c r="L4993" s="9"/>
      <c r="M4993" s="9"/>
    </row>
    <row r="4994">
      <c r="J4994" s="9"/>
      <c r="K4994" s="9"/>
      <c r="L4994" s="9"/>
      <c r="M4994" s="9"/>
    </row>
    <row r="4995">
      <c r="J4995" s="9"/>
      <c r="K4995" s="9"/>
      <c r="L4995" s="9"/>
      <c r="M4995" s="9"/>
    </row>
    <row r="4996">
      <c r="J4996" s="9"/>
      <c r="K4996" s="9"/>
      <c r="L4996" s="9"/>
      <c r="M4996" s="9"/>
    </row>
    <row r="4997">
      <c r="J4997" s="9"/>
      <c r="K4997" s="9"/>
      <c r="L4997" s="9"/>
      <c r="M4997" s="9"/>
    </row>
    <row r="4998">
      <c r="J4998" s="9"/>
      <c r="K4998" s="9"/>
      <c r="L4998" s="9"/>
      <c r="M4998" s="9"/>
    </row>
    <row r="4999">
      <c r="J4999" s="9"/>
      <c r="K4999" s="9"/>
      <c r="L4999" s="9"/>
      <c r="M4999" s="9"/>
    </row>
    <row r="5000">
      <c r="J5000" s="9"/>
      <c r="K5000" s="9"/>
      <c r="L5000" s="9"/>
      <c r="M5000" s="9"/>
    </row>
    <row r="5001">
      <c r="J5001" s="9"/>
      <c r="K5001" s="9"/>
      <c r="L5001" s="9"/>
      <c r="M5001" s="9"/>
    </row>
    <row r="5002">
      <c r="J5002" s="9"/>
      <c r="K5002" s="9"/>
      <c r="L5002" s="9"/>
      <c r="M5002" s="9"/>
    </row>
    <row r="5003">
      <c r="J5003" s="9"/>
      <c r="K5003" s="9"/>
      <c r="L5003" s="9"/>
      <c r="M5003" s="9"/>
    </row>
    <row r="5004">
      <c r="J5004" s="9"/>
      <c r="K5004" s="9"/>
      <c r="L5004" s="9"/>
      <c r="M5004" s="9"/>
    </row>
    <row r="5005">
      <c r="J5005" s="9"/>
      <c r="K5005" s="9"/>
      <c r="L5005" s="9"/>
      <c r="M5005" s="9"/>
    </row>
    <row r="5006">
      <c r="J5006" s="9"/>
      <c r="K5006" s="9"/>
      <c r="L5006" s="9"/>
      <c r="M5006" s="9"/>
    </row>
    <row r="5007">
      <c r="J5007" s="9"/>
      <c r="K5007" s="9"/>
      <c r="L5007" s="9"/>
      <c r="M5007" s="9"/>
    </row>
    <row r="5008">
      <c r="J5008" s="9"/>
      <c r="K5008" s="9"/>
      <c r="L5008" s="9"/>
      <c r="M5008" s="9"/>
    </row>
    <row r="5009">
      <c r="J5009" s="9"/>
      <c r="K5009" s="9"/>
      <c r="L5009" s="9"/>
      <c r="M5009" s="9"/>
    </row>
    <row r="5010">
      <c r="J5010" s="9"/>
      <c r="K5010" s="9"/>
      <c r="L5010" s="9"/>
      <c r="M5010" s="9"/>
    </row>
    <row r="5011">
      <c r="J5011" s="9"/>
      <c r="K5011" s="9"/>
      <c r="L5011" s="9"/>
      <c r="M5011" s="9"/>
    </row>
    <row r="5012">
      <c r="J5012" s="9"/>
      <c r="K5012" s="9"/>
      <c r="L5012" s="9"/>
      <c r="M5012" s="9"/>
    </row>
    <row r="5013">
      <c r="J5013" s="9"/>
      <c r="K5013" s="9"/>
      <c r="L5013" s="9"/>
      <c r="M5013" s="9"/>
    </row>
    <row r="5014">
      <c r="J5014" s="9"/>
      <c r="K5014" s="9"/>
      <c r="L5014" s="9"/>
      <c r="M5014" s="9"/>
    </row>
    <row r="5015">
      <c r="J5015" s="9"/>
      <c r="K5015" s="9"/>
      <c r="L5015" s="9"/>
      <c r="M5015" s="9"/>
    </row>
    <row r="5016">
      <c r="J5016" s="9"/>
      <c r="K5016" s="9"/>
      <c r="L5016" s="9"/>
      <c r="M5016" s="9"/>
    </row>
    <row r="5017">
      <c r="J5017" s="9"/>
      <c r="K5017" s="9"/>
      <c r="L5017" s="9"/>
      <c r="M5017" s="9"/>
    </row>
    <row r="5018">
      <c r="J5018" s="9"/>
      <c r="K5018" s="9"/>
      <c r="L5018" s="9"/>
      <c r="M5018" s="9"/>
    </row>
    <row r="5019">
      <c r="J5019" s="9"/>
      <c r="K5019" s="9"/>
      <c r="L5019" s="9"/>
      <c r="M5019" s="9"/>
    </row>
    <row r="5020">
      <c r="J5020" s="9"/>
      <c r="K5020" s="9"/>
      <c r="L5020" s="9"/>
      <c r="M5020" s="9"/>
    </row>
    <row r="5021">
      <c r="J5021" s="9"/>
      <c r="K5021" s="9"/>
      <c r="L5021" s="9"/>
      <c r="M5021" s="9"/>
    </row>
    <row r="5022">
      <c r="J5022" s="9"/>
      <c r="K5022" s="9"/>
      <c r="L5022" s="9"/>
      <c r="M5022" s="9"/>
    </row>
    <row r="5023">
      <c r="J5023" s="9"/>
      <c r="K5023" s="9"/>
      <c r="L5023" s="9"/>
      <c r="M5023" s="9"/>
    </row>
    <row r="5024">
      <c r="J5024" s="9"/>
      <c r="K5024" s="9"/>
      <c r="L5024" s="9"/>
      <c r="M5024" s="9"/>
    </row>
    <row r="5025">
      <c r="J5025" s="9"/>
      <c r="K5025" s="9"/>
      <c r="L5025" s="9"/>
      <c r="M5025" s="9"/>
    </row>
    <row r="5026">
      <c r="J5026" s="9"/>
      <c r="K5026" s="9"/>
      <c r="L5026" s="9"/>
      <c r="M5026" s="9"/>
    </row>
    <row r="5027">
      <c r="J5027" s="9"/>
      <c r="K5027" s="9"/>
      <c r="L5027" s="9"/>
      <c r="M5027" s="9"/>
    </row>
    <row r="5028">
      <c r="J5028" s="9"/>
      <c r="K5028" s="9"/>
      <c r="L5028" s="9"/>
      <c r="M5028" s="9"/>
    </row>
    <row r="5029">
      <c r="J5029" s="9"/>
      <c r="K5029" s="9"/>
      <c r="L5029" s="9"/>
      <c r="M5029" s="9"/>
    </row>
    <row r="5030">
      <c r="J5030" s="9"/>
      <c r="K5030" s="9"/>
      <c r="L5030" s="9"/>
      <c r="M5030" s="9"/>
    </row>
    <row r="5031">
      <c r="J5031" s="9"/>
      <c r="K5031" s="9"/>
      <c r="L5031" s="9"/>
      <c r="M5031" s="9"/>
    </row>
    <row r="5032">
      <c r="J5032" s="9"/>
      <c r="K5032" s="9"/>
      <c r="L5032" s="9"/>
      <c r="M5032" s="9"/>
    </row>
    <row r="5033">
      <c r="J5033" s="9"/>
      <c r="K5033" s="9"/>
      <c r="L5033" s="9"/>
      <c r="M5033" s="9"/>
    </row>
    <row r="5034">
      <c r="J5034" s="9"/>
      <c r="K5034" s="9"/>
      <c r="L5034" s="9"/>
      <c r="M5034" s="9"/>
    </row>
    <row r="5035">
      <c r="J5035" s="9"/>
      <c r="K5035" s="9"/>
      <c r="L5035" s="9"/>
      <c r="M5035" s="9"/>
    </row>
    <row r="5036">
      <c r="J5036" s="9"/>
      <c r="K5036" s="9"/>
      <c r="L5036" s="9"/>
      <c r="M5036" s="9"/>
    </row>
    <row r="5037">
      <c r="J5037" s="9"/>
      <c r="K5037" s="9"/>
      <c r="L5037" s="9"/>
      <c r="M5037" s="9"/>
    </row>
    <row r="5038">
      <c r="J5038" s="9"/>
      <c r="K5038" s="9"/>
      <c r="L5038" s="9"/>
      <c r="M5038" s="9"/>
    </row>
    <row r="5039">
      <c r="J5039" s="9"/>
      <c r="K5039" s="9"/>
      <c r="L5039" s="9"/>
      <c r="M5039" s="9"/>
    </row>
    <row r="5040">
      <c r="J5040" s="9"/>
      <c r="K5040" s="9"/>
      <c r="L5040" s="9"/>
      <c r="M5040" s="9"/>
    </row>
    <row r="5041">
      <c r="J5041" s="9"/>
      <c r="K5041" s="9"/>
      <c r="L5041" s="9"/>
      <c r="M5041" s="9"/>
    </row>
    <row r="5042">
      <c r="J5042" s="9"/>
      <c r="K5042" s="9"/>
      <c r="L5042" s="9"/>
      <c r="M5042" s="9"/>
    </row>
    <row r="5043">
      <c r="J5043" s="9"/>
      <c r="K5043" s="9"/>
      <c r="L5043" s="9"/>
      <c r="M5043" s="9"/>
    </row>
    <row r="5044">
      <c r="J5044" s="9"/>
      <c r="K5044" s="9"/>
      <c r="L5044" s="9"/>
      <c r="M5044" s="9"/>
    </row>
    <row r="5045">
      <c r="J5045" s="9"/>
      <c r="K5045" s="9"/>
      <c r="L5045" s="9"/>
      <c r="M5045" s="9"/>
    </row>
    <row r="5046">
      <c r="J5046" s="9"/>
      <c r="K5046" s="9"/>
      <c r="L5046" s="9"/>
      <c r="M5046" s="9"/>
    </row>
    <row r="5047">
      <c r="J5047" s="9"/>
      <c r="K5047" s="9"/>
      <c r="L5047" s="9"/>
      <c r="M5047" s="9"/>
    </row>
    <row r="5048">
      <c r="J5048" s="9"/>
      <c r="K5048" s="9"/>
      <c r="L5048" s="9"/>
      <c r="M5048" s="9"/>
    </row>
    <row r="5049">
      <c r="J5049" s="9"/>
      <c r="K5049" s="9"/>
      <c r="L5049" s="9"/>
      <c r="M5049" s="9"/>
    </row>
    <row r="5050">
      <c r="J5050" s="9"/>
      <c r="K5050" s="9"/>
      <c r="L5050" s="9"/>
      <c r="M5050" s="9"/>
    </row>
    <row r="5051">
      <c r="J5051" s="9"/>
      <c r="K5051" s="9"/>
      <c r="L5051" s="9"/>
      <c r="M5051" s="9"/>
    </row>
    <row r="5052">
      <c r="J5052" s="9"/>
      <c r="K5052" s="9"/>
      <c r="L5052" s="9"/>
      <c r="M5052" s="9"/>
    </row>
    <row r="5053">
      <c r="J5053" s="9"/>
      <c r="K5053" s="9"/>
      <c r="L5053" s="9"/>
      <c r="M5053" s="9"/>
    </row>
    <row r="5054">
      <c r="J5054" s="9"/>
      <c r="K5054" s="9"/>
      <c r="L5054" s="9"/>
      <c r="M5054" s="9"/>
    </row>
    <row r="5055">
      <c r="J5055" s="9"/>
      <c r="K5055" s="9"/>
      <c r="L5055" s="9"/>
      <c r="M5055" s="9"/>
    </row>
    <row r="5056">
      <c r="J5056" s="9"/>
      <c r="K5056" s="9"/>
      <c r="L5056" s="9"/>
      <c r="M5056" s="9"/>
    </row>
    <row r="5057">
      <c r="J5057" s="9"/>
      <c r="K5057" s="9"/>
      <c r="L5057" s="9"/>
      <c r="M5057" s="9"/>
    </row>
    <row r="5058">
      <c r="J5058" s="9"/>
      <c r="K5058" s="9"/>
      <c r="L5058" s="9"/>
      <c r="M5058" s="9"/>
    </row>
    <row r="5059">
      <c r="J5059" s="9"/>
      <c r="K5059" s="9"/>
      <c r="L5059" s="9"/>
      <c r="M5059" s="9"/>
    </row>
    <row r="5060">
      <c r="J5060" s="9"/>
      <c r="K5060" s="9"/>
      <c r="L5060" s="9"/>
      <c r="M5060" s="9"/>
    </row>
    <row r="5061">
      <c r="J5061" s="9"/>
      <c r="K5061" s="9"/>
      <c r="L5061" s="9"/>
      <c r="M5061" s="9"/>
    </row>
    <row r="5062">
      <c r="J5062" s="9"/>
      <c r="K5062" s="9"/>
      <c r="L5062" s="9"/>
      <c r="M5062" s="9"/>
    </row>
    <row r="5063">
      <c r="J5063" s="9"/>
      <c r="K5063" s="9"/>
      <c r="L5063" s="9"/>
      <c r="M5063" s="9"/>
    </row>
    <row r="5064">
      <c r="J5064" s="9"/>
      <c r="K5064" s="9"/>
      <c r="L5064" s="9"/>
      <c r="M5064" s="9"/>
    </row>
    <row r="5065">
      <c r="J5065" s="9"/>
      <c r="K5065" s="9"/>
      <c r="L5065" s="9"/>
      <c r="M5065" s="9"/>
    </row>
    <row r="5066">
      <c r="J5066" s="9"/>
      <c r="K5066" s="9"/>
      <c r="L5066" s="9"/>
      <c r="M5066" s="9"/>
    </row>
    <row r="5067">
      <c r="J5067" s="9"/>
      <c r="K5067" s="9"/>
      <c r="L5067" s="9"/>
      <c r="M5067" s="9"/>
    </row>
    <row r="5068">
      <c r="J5068" s="9"/>
      <c r="K5068" s="9"/>
      <c r="L5068" s="9"/>
      <c r="M5068" s="9"/>
    </row>
    <row r="5069">
      <c r="J5069" s="9"/>
      <c r="K5069" s="9"/>
      <c r="L5069" s="9"/>
      <c r="M5069" s="9"/>
    </row>
    <row r="5070">
      <c r="J5070" s="9"/>
      <c r="K5070" s="9"/>
      <c r="L5070" s="9"/>
      <c r="M5070" s="9"/>
    </row>
    <row r="5071">
      <c r="J5071" s="9"/>
      <c r="K5071" s="9"/>
      <c r="L5071" s="9"/>
      <c r="M5071" s="9"/>
    </row>
    <row r="5072">
      <c r="J5072" s="9"/>
      <c r="K5072" s="9"/>
      <c r="L5072" s="9"/>
      <c r="M5072" s="9"/>
    </row>
    <row r="5073">
      <c r="J5073" s="9"/>
      <c r="K5073" s="9"/>
      <c r="L5073" s="9"/>
      <c r="M5073" s="9"/>
    </row>
    <row r="5074">
      <c r="J5074" s="9"/>
      <c r="K5074" s="9"/>
      <c r="L5074" s="9"/>
      <c r="M5074" s="9"/>
    </row>
    <row r="5075">
      <c r="J5075" s="9"/>
      <c r="K5075" s="9"/>
      <c r="L5075" s="9"/>
      <c r="M5075" s="9"/>
    </row>
    <row r="5076">
      <c r="J5076" s="9"/>
      <c r="K5076" s="9"/>
      <c r="L5076" s="9"/>
      <c r="M5076" s="9"/>
    </row>
    <row r="5077">
      <c r="J5077" s="9"/>
      <c r="K5077" s="9"/>
      <c r="L5077" s="9"/>
      <c r="M5077" s="9"/>
    </row>
    <row r="5078">
      <c r="J5078" s="9"/>
      <c r="K5078" s="9"/>
      <c r="L5078" s="9"/>
      <c r="M5078" s="9"/>
    </row>
    <row r="5079">
      <c r="J5079" s="9"/>
      <c r="K5079" s="9"/>
      <c r="L5079" s="9"/>
      <c r="M5079" s="9"/>
    </row>
    <row r="5080">
      <c r="J5080" s="9"/>
      <c r="K5080" s="9"/>
      <c r="L5080" s="9"/>
      <c r="M5080" s="9"/>
    </row>
    <row r="5081">
      <c r="J5081" s="9"/>
      <c r="K5081" s="9"/>
      <c r="L5081" s="9"/>
      <c r="M5081" s="9"/>
    </row>
    <row r="5082">
      <c r="J5082" s="9"/>
      <c r="K5082" s="9"/>
      <c r="L5082" s="9"/>
      <c r="M5082" s="9"/>
    </row>
    <row r="5083">
      <c r="J5083" s="9"/>
      <c r="K5083" s="9"/>
      <c r="L5083" s="9"/>
      <c r="M5083" s="9"/>
    </row>
    <row r="5084">
      <c r="J5084" s="9"/>
      <c r="K5084" s="9"/>
      <c r="L5084" s="9"/>
      <c r="M5084" s="9"/>
    </row>
    <row r="5085">
      <c r="J5085" s="9"/>
      <c r="K5085" s="9"/>
      <c r="L5085" s="9"/>
      <c r="M5085" s="9"/>
    </row>
    <row r="5086">
      <c r="J5086" s="9"/>
      <c r="K5086" s="9"/>
      <c r="L5086" s="9"/>
      <c r="M5086" s="9"/>
    </row>
    <row r="5087">
      <c r="J5087" s="9"/>
      <c r="K5087" s="9"/>
      <c r="L5087" s="9"/>
      <c r="M5087" s="9"/>
    </row>
    <row r="5088">
      <c r="J5088" s="9"/>
      <c r="K5088" s="9"/>
      <c r="L5088" s="9"/>
      <c r="M5088" s="9"/>
    </row>
    <row r="5089">
      <c r="J5089" s="9"/>
      <c r="K5089" s="9"/>
      <c r="L5089" s="9"/>
      <c r="M5089" s="9"/>
    </row>
    <row r="5090">
      <c r="J5090" s="9"/>
      <c r="K5090" s="9"/>
      <c r="L5090" s="9"/>
      <c r="M5090" s="9"/>
    </row>
    <row r="5091">
      <c r="J5091" s="9"/>
      <c r="K5091" s="9"/>
      <c r="L5091" s="9"/>
      <c r="M5091" s="9"/>
    </row>
    <row r="5092">
      <c r="J5092" s="9"/>
      <c r="K5092" s="9"/>
      <c r="L5092" s="9"/>
      <c r="M5092" s="9"/>
    </row>
    <row r="5093">
      <c r="J5093" s="9"/>
      <c r="K5093" s="9"/>
      <c r="L5093" s="9"/>
      <c r="M5093" s="9"/>
    </row>
    <row r="5094">
      <c r="J5094" s="9"/>
      <c r="K5094" s="9"/>
      <c r="L5094" s="9"/>
      <c r="M5094" s="9"/>
    </row>
    <row r="5095">
      <c r="J5095" s="9"/>
      <c r="K5095" s="9"/>
      <c r="L5095" s="9"/>
      <c r="M5095" s="9"/>
    </row>
    <row r="5096">
      <c r="J5096" s="9"/>
      <c r="K5096" s="9"/>
      <c r="L5096" s="9"/>
      <c r="M5096" s="9"/>
    </row>
    <row r="5097">
      <c r="J5097" s="9"/>
      <c r="K5097" s="9"/>
      <c r="L5097" s="9"/>
      <c r="M5097" s="9"/>
    </row>
    <row r="5098">
      <c r="J5098" s="9"/>
      <c r="K5098" s="9"/>
      <c r="L5098" s="9"/>
      <c r="M5098" s="9"/>
    </row>
    <row r="5099">
      <c r="J5099" s="9"/>
      <c r="K5099" s="9"/>
      <c r="L5099" s="9"/>
      <c r="M5099" s="9"/>
    </row>
    <row r="5100">
      <c r="J5100" s="9"/>
      <c r="K5100" s="9"/>
      <c r="L5100" s="9"/>
      <c r="M5100" s="9"/>
    </row>
    <row r="5101">
      <c r="J5101" s="9"/>
      <c r="K5101" s="9"/>
      <c r="L5101" s="9"/>
      <c r="M5101" s="9"/>
    </row>
    <row r="5102">
      <c r="J5102" s="9"/>
      <c r="K5102" s="9"/>
      <c r="L5102" s="9"/>
      <c r="M5102" s="9"/>
    </row>
    <row r="5103">
      <c r="J5103" s="9"/>
      <c r="K5103" s="9"/>
      <c r="L5103" s="9"/>
      <c r="M5103" s="9"/>
    </row>
    <row r="5104">
      <c r="J5104" s="9"/>
      <c r="K5104" s="9"/>
      <c r="L5104" s="9"/>
      <c r="M5104" s="9"/>
    </row>
    <row r="5105">
      <c r="J5105" s="9"/>
      <c r="K5105" s="9"/>
      <c r="L5105" s="9"/>
      <c r="M5105" s="9"/>
    </row>
    <row r="5106">
      <c r="J5106" s="9"/>
      <c r="K5106" s="9"/>
      <c r="L5106" s="9"/>
      <c r="M5106" s="9"/>
    </row>
    <row r="5107">
      <c r="J5107" s="9"/>
      <c r="K5107" s="9"/>
      <c r="L5107" s="9"/>
      <c r="M5107" s="9"/>
    </row>
    <row r="5108">
      <c r="J5108" s="9"/>
      <c r="K5108" s="9"/>
      <c r="L5108" s="9"/>
      <c r="M5108" s="9"/>
    </row>
    <row r="5109">
      <c r="J5109" s="9"/>
      <c r="K5109" s="9"/>
      <c r="L5109" s="9"/>
      <c r="M5109" s="9"/>
    </row>
    <row r="5110">
      <c r="J5110" s="9"/>
      <c r="K5110" s="9"/>
      <c r="L5110" s="9"/>
      <c r="M5110" s="9"/>
    </row>
    <row r="5111">
      <c r="J5111" s="9"/>
      <c r="K5111" s="9"/>
      <c r="L5111" s="9"/>
      <c r="M5111" s="9"/>
    </row>
    <row r="5112">
      <c r="J5112" s="9"/>
      <c r="K5112" s="9"/>
      <c r="L5112" s="9"/>
      <c r="M5112" s="9"/>
    </row>
    <row r="5113">
      <c r="J5113" s="9"/>
      <c r="K5113" s="9"/>
      <c r="L5113" s="9"/>
      <c r="M5113" s="9"/>
    </row>
    <row r="5114">
      <c r="J5114" s="9"/>
      <c r="K5114" s="9"/>
      <c r="L5114" s="9"/>
      <c r="M5114" s="9"/>
    </row>
    <row r="5115">
      <c r="J5115" s="9"/>
      <c r="K5115" s="9"/>
      <c r="L5115" s="9"/>
      <c r="M5115" s="9"/>
    </row>
    <row r="5116">
      <c r="J5116" s="9"/>
      <c r="K5116" s="9"/>
      <c r="L5116" s="9"/>
      <c r="M5116" s="9"/>
    </row>
    <row r="5117">
      <c r="J5117" s="9"/>
      <c r="K5117" s="9"/>
      <c r="L5117" s="9"/>
      <c r="M5117" s="9"/>
    </row>
    <row r="5118">
      <c r="J5118" s="9"/>
      <c r="K5118" s="9"/>
      <c r="L5118" s="9"/>
      <c r="M5118" s="9"/>
    </row>
    <row r="5119">
      <c r="J5119" s="9"/>
      <c r="K5119" s="9"/>
      <c r="L5119" s="9"/>
      <c r="M5119" s="9"/>
    </row>
    <row r="5120">
      <c r="J5120" s="9"/>
      <c r="K5120" s="9"/>
      <c r="L5120" s="9"/>
      <c r="M5120" s="9"/>
    </row>
    <row r="5121">
      <c r="J5121" s="9"/>
      <c r="K5121" s="9"/>
      <c r="L5121" s="9"/>
      <c r="M5121" s="9"/>
    </row>
    <row r="5122">
      <c r="J5122" s="9"/>
      <c r="K5122" s="9"/>
      <c r="L5122" s="9"/>
      <c r="M5122" s="9"/>
    </row>
    <row r="5123">
      <c r="J5123" s="9"/>
      <c r="K5123" s="9"/>
      <c r="L5123" s="9"/>
      <c r="M5123" s="9"/>
    </row>
    <row r="5124">
      <c r="J5124" s="9"/>
      <c r="K5124" s="9"/>
      <c r="L5124" s="9"/>
      <c r="M5124" s="9"/>
    </row>
    <row r="5125">
      <c r="J5125" s="9"/>
      <c r="K5125" s="9"/>
      <c r="L5125" s="9"/>
      <c r="M5125" s="9"/>
    </row>
    <row r="5126">
      <c r="J5126" s="9"/>
      <c r="K5126" s="9"/>
      <c r="L5126" s="9"/>
      <c r="M5126" s="9"/>
    </row>
    <row r="5127">
      <c r="J5127" s="9"/>
      <c r="K5127" s="9"/>
      <c r="L5127" s="9"/>
      <c r="M5127" s="9"/>
    </row>
    <row r="5128">
      <c r="J5128" s="9"/>
      <c r="K5128" s="9"/>
      <c r="L5128" s="9"/>
      <c r="M5128" s="9"/>
    </row>
    <row r="5129">
      <c r="J5129" s="9"/>
      <c r="K5129" s="9"/>
      <c r="L5129" s="9"/>
      <c r="M5129" s="9"/>
    </row>
    <row r="5130">
      <c r="J5130" s="9"/>
      <c r="K5130" s="9"/>
      <c r="L5130" s="9"/>
      <c r="M5130" s="9"/>
    </row>
    <row r="5131">
      <c r="J5131" s="9"/>
      <c r="K5131" s="9"/>
      <c r="L5131" s="9"/>
      <c r="M5131" s="9"/>
    </row>
    <row r="5132">
      <c r="J5132" s="9"/>
      <c r="K5132" s="9"/>
      <c r="L5132" s="9"/>
      <c r="M5132" s="9"/>
    </row>
    <row r="5133">
      <c r="J5133" s="9"/>
      <c r="K5133" s="9"/>
      <c r="L5133" s="9"/>
      <c r="M5133" s="9"/>
    </row>
    <row r="5134">
      <c r="J5134" s="9"/>
      <c r="K5134" s="9"/>
      <c r="L5134" s="9"/>
      <c r="M5134" s="9"/>
    </row>
    <row r="5135">
      <c r="J5135" s="9"/>
      <c r="K5135" s="9"/>
      <c r="L5135" s="9"/>
      <c r="M5135" s="9"/>
    </row>
    <row r="5136">
      <c r="J5136" s="9"/>
      <c r="K5136" s="9"/>
      <c r="L5136" s="9"/>
      <c r="M5136" s="9"/>
    </row>
    <row r="5137">
      <c r="J5137" s="9"/>
      <c r="K5137" s="9"/>
      <c r="L5137" s="9"/>
      <c r="M5137" s="9"/>
    </row>
    <row r="5138">
      <c r="J5138" s="9"/>
      <c r="K5138" s="9"/>
      <c r="L5138" s="9"/>
      <c r="M5138" s="9"/>
    </row>
    <row r="5139">
      <c r="J5139" s="9"/>
      <c r="K5139" s="9"/>
      <c r="L5139" s="9"/>
      <c r="M5139" s="9"/>
    </row>
    <row r="5140">
      <c r="J5140" s="9"/>
      <c r="K5140" s="9"/>
      <c r="L5140" s="9"/>
      <c r="M5140" s="9"/>
    </row>
    <row r="5141">
      <c r="J5141" s="9"/>
      <c r="K5141" s="9"/>
      <c r="L5141" s="9"/>
      <c r="M5141" s="9"/>
    </row>
    <row r="5142">
      <c r="J5142" s="9"/>
      <c r="K5142" s="9"/>
      <c r="L5142" s="9"/>
      <c r="M5142" s="9"/>
    </row>
    <row r="5143">
      <c r="J5143" s="9"/>
      <c r="K5143" s="9"/>
      <c r="L5143" s="9"/>
      <c r="M5143" s="9"/>
    </row>
    <row r="5144">
      <c r="J5144" s="9"/>
      <c r="K5144" s="9"/>
      <c r="L5144" s="9"/>
      <c r="M5144" s="9"/>
    </row>
    <row r="5145">
      <c r="J5145" s="9"/>
      <c r="K5145" s="9"/>
      <c r="L5145" s="9"/>
      <c r="M5145" s="9"/>
    </row>
    <row r="5146">
      <c r="J5146" s="9"/>
      <c r="K5146" s="9"/>
      <c r="L5146" s="9"/>
      <c r="M5146" s="9"/>
    </row>
    <row r="5147">
      <c r="J5147" s="9"/>
      <c r="K5147" s="9"/>
      <c r="L5147" s="9"/>
      <c r="M5147" s="9"/>
    </row>
    <row r="5148">
      <c r="J5148" s="9"/>
      <c r="K5148" s="9"/>
      <c r="L5148" s="9"/>
      <c r="M5148" s="9"/>
    </row>
    <row r="5149">
      <c r="J5149" s="9"/>
      <c r="K5149" s="9"/>
      <c r="L5149" s="9"/>
      <c r="M5149" s="9"/>
    </row>
    <row r="5150">
      <c r="J5150" s="9"/>
      <c r="K5150" s="9"/>
      <c r="L5150" s="9"/>
      <c r="M5150" s="9"/>
    </row>
    <row r="5151">
      <c r="J5151" s="9"/>
      <c r="K5151" s="9"/>
      <c r="L5151" s="9"/>
      <c r="M5151" s="9"/>
    </row>
    <row r="5152">
      <c r="J5152" s="9"/>
      <c r="K5152" s="9"/>
      <c r="L5152" s="9"/>
      <c r="M5152" s="9"/>
    </row>
    <row r="5153">
      <c r="J5153" s="9"/>
      <c r="K5153" s="9"/>
      <c r="L5153" s="9"/>
      <c r="M5153" s="9"/>
    </row>
    <row r="5154">
      <c r="J5154" s="9"/>
      <c r="K5154" s="9"/>
      <c r="L5154" s="9"/>
      <c r="M5154" s="9"/>
    </row>
    <row r="5155">
      <c r="J5155" s="9"/>
      <c r="K5155" s="9"/>
      <c r="L5155" s="9"/>
      <c r="M5155" s="9"/>
    </row>
    <row r="5156">
      <c r="J5156" s="9"/>
      <c r="K5156" s="9"/>
      <c r="L5156" s="9"/>
      <c r="M5156" s="9"/>
    </row>
    <row r="5157">
      <c r="J5157" s="9"/>
      <c r="K5157" s="9"/>
      <c r="L5157" s="9"/>
      <c r="M5157" s="9"/>
    </row>
    <row r="5158">
      <c r="J5158" s="9"/>
      <c r="K5158" s="9"/>
      <c r="L5158" s="9"/>
      <c r="M5158" s="9"/>
    </row>
    <row r="5159">
      <c r="J5159" s="9"/>
      <c r="K5159" s="9"/>
      <c r="L5159" s="9"/>
      <c r="M5159" s="9"/>
    </row>
    <row r="5160">
      <c r="J5160" s="9"/>
      <c r="K5160" s="9"/>
      <c r="L5160" s="9"/>
      <c r="M5160" s="9"/>
    </row>
    <row r="5161">
      <c r="J5161" s="9"/>
      <c r="K5161" s="9"/>
      <c r="L5161" s="9"/>
      <c r="M5161" s="9"/>
    </row>
    <row r="5162">
      <c r="J5162" s="9"/>
      <c r="K5162" s="9"/>
      <c r="L5162" s="9"/>
      <c r="M5162" s="9"/>
    </row>
    <row r="5163">
      <c r="J5163" s="9"/>
      <c r="K5163" s="9"/>
      <c r="L5163" s="9"/>
      <c r="M5163" s="9"/>
    </row>
    <row r="5164">
      <c r="J5164" s="9"/>
      <c r="K5164" s="9"/>
      <c r="L5164" s="9"/>
      <c r="M5164" s="9"/>
    </row>
    <row r="5165">
      <c r="J5165" s="9"/>
      <c r="K5165" s="9"/>
      <c r="L5165" s="9"/>
      <c r="M5165" s="9"/>
    </row>
    <row r="5166">
      <c r="J5166" s="9"/>
      <c r="K5166" s="9"/>
      <c r="L5166" s="9"/>
      <c r="M5166" s="9"/>
    </row>
    <row r="5167">
      <c r="J5167" s="9"/>
      <c r="K5167" s="9"/>
      <c r="L5167" s="9"/>
      <c r="M5167" s="9"/>
    </row>
    <row r="5168">
      <c r="J5168" s="9"/>
      <c r="K5168" s="9"/>
      <c r="L5168" s="9"/>
      <c r="M5168" s="9"/>
    </row>
    <row r="5169">
      <c r="J5169" s="9"/>
      <c r="K5169" s="9"/>
      <c r="L5169" s="9"/>
      <c r="M5169" s="9"/>
    </row>
    <row r="5170">
      <c r="J5170" s="9"/>
      <c r="K5170" s="9"/>
      <c r="L5170" s="9"/>
      <c r="M5170" s="9"/>
    </row>
    <row r="5171">
      <c r="J5171" s="9"/>
      <c r="K5171" s="9"/>
      <c r="L5171" s="9"/>
      <c r="M5171" s="9"/>
    </row>
    <row r="5172">
      <c r="J5172" s="9"/>
      <c r="K5172" s="9"/>
      <c r="L5172" s="9"/>
      <c r="M5172" s="9"/>
    </row>
    <row r="5173">
      <c r="J5173" s="9"/>
      <c r="K5173" s="9"/>
      <c r="L5173" s="9"/>
      <c r="M5173" s="9"/>
    </row>
    <row r="5174">
      <c r="J5174" s="9"/>
      <c r="K5174" s="9"/>
      <c r="L5174" s="9"/>
      <c r="M5174" s="9"/>
    </row>
    <row r="5175">
      <c r="J5175" s="9"/>
      <c r="K5175" s="9"/>
      <c r="L5175" s="9"/>
      <c r="M5175" s="9"/>
    </row>
    <row r="5176">
      <c r="J5176" s="9"/>
      <c r="K5176" s="9"/>
      <c r="L5176" s="9"/>
      <c r="M5176" s="9"/>
    </row>
    <row r="5177">
      <c r="J5177" s="9"/>
      <c r="K5177" s="9"/>
      <c r="L5177" s="9"/>
      <c r="M5177" s="9"/>
    </row>
    <row r="5178">
      <c r="J5178" s="9"/>
      <c r="K5178" s="9"/>
      <c r="L5178" s="9"/>
      <c r="M5178" s="9"/>
    </row>
    <row r="5179">
      <c r="J5179" s="9"/>
      <c r="K5179" s="9"/>
      <c r="L5179" s="9"/>
      <c r="M5179" s="9"/>
    </row>
    <row r="5180">
      <c r="J5180" s="9"/>
      <c r="K5180" s="9"/>
      <c r="L5180" s="9"/>
      <c r="M5180" s="9"/>
    </row>
    <row r="5181">
      <c r="J5181" s="9"/>
      <c r="K5181" s="9"/>
      <c r="L5181" s="9"/>
      <c r="M5181" s="9"/>
    </row>
    <row r="5182">
      <c r="J5182" s="9"/>
      <c r="K5182" s="9"/>
      <c r="L5182" s="9"/>
      <c r="M5182" s="9"/>
    </row>
    <row r="5183">
      <c r="J5183" s="9"/>
      <c r="K5183" s="9"/>
      <c r="L5183" s="9"/>
      <c r="M5183" s="9"/>
    </row>
    <row r="5184">
      <c r="J5184" s="9"/>
      <c r="K5184" s="9"/>
      <c r="L5184" s="9"/>
      <c r="M5184" s="9"/>
    </row>
    <row r="5185">
      <c r="J5185" s="9"/>
      <c r="K5185" s="9"/>
      <c r="L5185" s="9"/>
      <c r="M5185" s="9"/>
    </row>
    <row r="5186">
      <c r="J5186" s="9"/>
      <c r="K5186" s="9"/>
      <c r="L5186" s="9"/>
      <c r="M5186" s="9"/>
    </row>
    <row r="5187">
      <c r="J5187" s="9"/>
      <c r="K5187" s="9"/>
      <c r="L5187" s="9"/>
      <c r="M5187" s="9"/>
    </row>
    <row r="5188">
      <c r="J5188" s="9"/>
      <c r="K5188" s="9"/>
      <c r="L5188" s="9"/>
      <c r="M5188" s="9"/>
    </row>
    <row r="5189">
      <c r="J5189" s="9"/>
      <c r="K5189" s="9"/>
      <c r="L5189" s="9"/>
      <c r="M5189" s="9"/>
    </row>
    <row r="5190">
      <c r="J5190" s="9"/>
      <c r="K5190" s="9"/>
      <c r="L5190" s="9"/>
      <c r="M5190" s="9"/>
    </row>
    <row r="5191">
      <c r="J5191" s="9"/>
      <c r="K5191" s="9"/>
      <c r="L5191" s="9"/>
      <c r="M5191" s="9"/>
    </row>
    <row r="5192">
      <c r="J5192" s="9"/>
      <c r="K5192" s="9"/>
      <c r="L5192" s="9"/>
      <c r="M5192" s="9"/>
    </row>
    <row r="5193">
      <c r="J5193" s="9"/>
      <c r="K5193" s="9"/>
      <c r="L5193" s="9"/>
      <c r="M5193" s="9"/>
    </row>
    <row r="5194">
      <c r="J5194" s="9"/>
      <c r="K5194" s="9"/>
      <c r="L5194" s="9"/>
      <c r="M5194" s="9"/>
    </row>
    <row r="5195">
      <c r="J5195" s="9"/>
      <c r="K5195" s="9"/>
      <c r="L5195" s="9"/>
      <c r="M5195" s="9"/>
    </row>
    <row r="5196">
      <c r="J5196" s="9"/>
      <c r="K5196" s="9"/>
      <c r="L5196" s="9"/>
      <c r="M5196" s="9"/>
    </row>
    <row r="5197">
      <c r="J5197" s="9"/>
      <c r="K5197" s="9"/>
      <c r="L5197" s="9"/>
      <c r="M5197" s="9"/>
    </row>
    <row r="5198">
      <c r="J5198" s="9"/>
      <c r="K5198" s="9"/>
      <c r="L5198" s="9"/>
      <c r="M5198" s="9"/>
    </row>
    <row r="5199">
      <c r="J5199" s="9"/>
      <c r="K5199" s="9"/>
      <c r="L5199" s="9"/>
      <c r="M5199" s="9"/>
    </row>
    <row r="5200">
      <c r="J5200" s="9"/>
      <c r="K5200" s="9"/>
      <c r="L5200" s="9"/>
      <c r="M5200" s="9"/>
    </row>
    <row r="5201">
      <c r="J5201" s="9"/>
      <c r="K5201" s="9"/>
      <c r="L5201" s="9"/>
      <c r="M5201" s="9"/>
    </row>
    <row r="5202">
      <c r="J5202" s="9"/>
      <c r="K5202" s="9"/>
      <c r="L5202" s="9"/>
      <c r="M5202" s="9"/>
    </row>
    <row r="5203">
      <c r="J5203" s="9"/>
      <c r="K5203" s="9"/>
      <c r="L5203" s="9"/>
      <c r="M5203" s="9"/>
    </row>
    <row r="5204">
      <c r="J5204" s="9"/>
      <c r="K5204" s="9"/>
      <c r="L5204" s="9"/>
      <c r="M5204" s="9"/>
    </row>
    <row r="5205">
      <c r="J5205" s="9"/>
      <c r="K5205" s="9"/>
      <c r="L5205" s="9"/>
      <c r="M5205" s="9"/>
    </row>
    <row r="5206">
      <c r="J5206" s="9"/>
      <c r="K5206" s="9"/>
      <c r="L5206" s="9"/>
      <c r="M5206" s="9"/>
    </row>
    <row r="5207">
      <c r="J5207" s="9"/>
      <c r="K5207" s="9"/>
      <c r="L5207" s="9"/>
      <c r="M5207" s="9"/>
    </row>
    <row r="5208">
      <c r="J5208" s="9"/>
      <c r="K5208" s="9"/>
      <c r="L5208" s="9"/>
      <c r="M5208" s="9"/>
    </row>
    <row r="5209">
      <c r="J5209" s="9"/>
      <c r="K5209" s="9"/>
      <c r="L5209" s="9"/>
      <c r="M5209" s="9"/>
    </row>
    <row r="5210">
      <c r="J5210" s="9"/>
      <c r="K5210" s="9"/>
      <c r="L5210" s="9"/>
      <c r="M5210" s="9"/>
    </row>
    <row r="5211">
      <c r="J5211" s="9"/>
      <c r="K5211" s="9"/>
      <c r="L5211" s="9"/>
      <c r="M5211" s="9"/>
    </row>
    <row r="5212">
      <c r="J5212" s="9"/>
      <c r="K5212" s="9"/>
      <c r="L5212" s="9"/>
      <c r="M5212" s="9"/>
    </row>
    <row r="5213">
      <c r="J5213" s="9"/>
      <c r="K5213" s="9"/>
      <c r="L5213" s="9"/>
      <c r="M5213" s="9"/>
    </row>
    <row r="5214">
      <c r="J5214" s="9"/>
      <c r="K5214" s="9"/>
      <c r="L5214" s="9"/>
      <c r="M5214" s="9"/>
    </row>
    <row r="5215">
      <c r="J5215" s="9"/>
      <c r="K5215" s="9"/>
      <c r="L5215" s="9"/>
      <c r="M5215" s="9"/>
    </row>
    <row r="5216">
      <c r="J5216" s="9"/>
      <c r="K5216" s="9"/>
      <c r="L5216" s="9"/>
      <c r="M5216" s="9"/>
    </row>
    <row r="5217">
      <c r="J5217" s="9"/>
      <c r="K5217" s="9"/>
      <c r="L5217" s="9"/>
      <c r="M5217" s="9"/>
    </row>
    <row r="5218">
      <c r="J5218" s="9"/>
      <c r="K5218" s="9"/>
      <c r="L5218" s="9"/>
      <c r="M5218" s="9"/>
    </row>
    <row r="5219">
      <c r="J5219" s="9"/>
      <c r="K5219" s="9"/>
      <c r="L5219" s="9"/>
      <c r="M5219" s="9"/>
    </row>
    <row r="5220">
      <c r="J5220" s="9"/>
      <c r="K5220" s="9"/>
      <c r="L5220" s="9"/>
      <c r="M5220" s="9"/>
    </row>
    <row r="5221">
      <c r="J5221" s="9"/>
      <c r="K5221" s="9"/>
      <c r="L5221" s="9"/>
      <c r="M5221" s="9"/>
    </row>
    <row r="5222">
      <c r="J5222" s="9"/>
      <c r="K5222" s="9"/>
      <c r="L5222" s="9"/>
      <c r="M5222" s="9"/>
    </row>
    <row r="5223">
      <c r="J5223" s="9"/>
      <c r="K5223" s="9"/>
      <c r="L5223" s="9"/>
      <c r="M5223" s="9"/>
    </row>
    <row r="5224">
      <c r="J5224" s="9"/>
      <c r="K5224" s="9"/>
      <c r="L5224" s="9"/>
      <c r="M5224" s="9"/>
    </row>
    <row r="5225">
      <c r="J5225" s="9"/>
      <c r="K5225" s="9"/>
      <c r="L5225" s="9"/>
      <c r="M5225" s="9"/>
    </row>
    <row r="5226">
      <c r="J5226" s="9"/>
      <c r="K5226" s="9"/>
      <c r="L5226" s="9"/>
      <c r="M5226" s="9"/>
    </row>
    <row r="5227">
      <c r="J5227" s="9"/>
      <c r="K5227" s="9"/>
      <c r="L5227" s="9"/>
      <c r="M5227" s="9"/>
    </row>
    <row r="5228">
      <c r="J5228" s="9"/>
      <c r="K5228" s="9"/>
      <c r="L5228" s="9"/>
      <c r="M5228" s="9"/>
    </row>
    <row r="5229">
      <c r="J5229" s="9"/>
      <c r="K5229" s="9"/>
      <c r="L5229" s="9"/>
      <c r="M5229" s="9"/>
    </row>
    <row r="5230">
      <c r="J5230" s="9"/>
      <c r="K5230" s="9"/>
      <c r="L5230" s="9"/>
      <c r="M5230" s="9"/>
    </row>
    <row r="5231">
      <c r="J5231" s="9"/>
      <c r="K5231" s="9"/>
      <c r="L5231" s="9"/>
      <c r="M5231" s="9"/>
    </row>
    <row r="5232">
      <c r="J5232" s="9"/>
      <c r="K5232" s="9"/>
      <c r="L5232" s="9"/>
      <c r="M5232" s="9"/>
    </row>
    <row r="5233">
      <c r="J5233" s="9"/>
      <c r="K5233" s="9"/>
      <c r="L5233" s="9"/>
      <c r="M5233" s="9"/>
    </row>
    <row r="5234">
      <c r="J5234" s="9"/>
      <c r="K5234" s="9"/>
      <c r="L5234" s="9"/>
      <c r="M5234" s="9"/>
    </row>
    <row r="5235">
      <c r="J5235" s="9"/>
      <c r="K5235" s="9"/>
      <c r="L5235" s="9"/>
      <c r="M5235" s="9"/>
    </row>
    <row r="5236">
      <c r="J5236" s="9"/>
      <c r="K5236" s="9"/>
      <c r="L5236" s="9"/>
      <c r="M5236" s="9"/>
    </row>
    <row r="5237">
      <c r="J5237" s="9"/>
      <c r="K5237" s="9"/>
      <c r="L5237" s="9"/>
      <c r="M5237" s="9"/>
    </row>
    <row r="5238">
      <c r="J5238" s="9"/>
      <c r="K5238" s="9"/>
      <c r="L5238" s="9"/>
      <c r="M5238" s="9"/>
    </row>
    <row r="5239">
      <c r="J5239" s="9"/>
      <c r="K5239" s="9"/>
      <c r="L5239" s="9"/>
      <c r="M5239" s="9"/>
    </row>
    <row r="5240">
      <c r="J5240" s="9"/>
      <c r="K5240" s="9"/>
      <c r="L5240" s="9"/>
      <c r="M5240" s="9"/>
    </row>
    <row r="5241">
      <c r="J5241" s="9"/>
      <c r="K5241" s="9"/>
      <c r="L5241" s="9"/>
      <c r="M5241" s="9"/>
    </row>
    <row r="5242">
      <c r="J5242" s="9"/>
      <c r="K5242" s="9"/>
      <c r="L5242" s="9"/>
      <c r="M5242" s="9"/>
    </row>
    <row r="5243">
      <c r="J5243" s="9"/>
      <c r="K5243" s="9"/>
      <c r="L5243" s="9"/>
      <c r="M5243" s="9"/>
    </row>
    <row r="5244">
      <c r="J5244" s="9"/>
      <c r="K5244" s="9"/>
      <c r="L5244" s="9"/>
      <c r="M5244" s="9"/>
    </row>
    <row r="5245">
      <c r="J5245" s="9"/>
      <c r="K5245" s="9"/>
      <c r="L5245" s="9"/>
      <c r="M5245" s="9"/>
    </row>
    <row r="5246">
      <c r="J5246" s="9"/>
      <c r="K5246" s="9"/>
      <c r="L5246" s="9"/>
      <c r="M5246" s="9"/>
    </row>
    <row r="5247">
      <c r="J5247" s="9"/>
      <c r="K5247" s="9"/>
      <c r="L5247" s="9"/>
      <c r="M5247" s="9"/>
    </row>
    <row r="5248">
      <c r="J5248" s="9"/>
      <c r="K5248" s="9"/>
      <c r="L5248" s="9"/>
      <c r="M5248" s="9"/>
    </row>
    <row r="5249">
      <c r="J5249" s="9"/>
      <c r="K5249" s="9"/>
      <c r="L5249" s="9"/>
      <c r="M5249" s="9"/>
    </row>
    <row r="5250">
      <c r="J5250" s="9"/>
      <c r="K5250" s="9"/>
      <c r="L5250" s="9"/>
      <c r="M5250" s="9"/>
    </row>
    <row r="5251">
      <c r="J5251" s="9"/>
      <c r="K5251" s="9"/>
      <c r="L5251" s="9"/>
      <c r="M5251" s="9"/>
    </row>
    <row r="5252">
      <c r="J5252" s="9"/>
      <c r="K5252" s="9"/>
      <c r="L5252" s="9"/>
      <c r="M5252" s="9"/>
    </row>
    <row r="5253">
      <c r="J5253" s="9"/>
      <c r="K5253" s="9"/>
      <c r="L5253" s="9"/>
      <c r="M5253" s="9"/>
    </row>
    <row r="5254">
      <c r="J5254" s="9"/>
      <c r="K5254" s="9"/>
      <c r="L5254" s="9"/>
      <c r="M5254" s="9"/>
    </row>
    <row r="5255">
      <c r="J5255" s="9"/>
      <c r="K5255" s="9"/>
      <c r="L5255" s="9"/>
      <c r="M5255" s="9"/>
    </row>
    <row r="5256">
      <c r="J5256" s="9"/>
      <c r="K5256" s="9"/>
      <c r="L5256" s="9"/>
      <c r="M5256" s="9"/>
    </row>
    <row r="5257">
      <c r="J5257" s="9"/>
      <c r="K5257" s="9"/>
      <c r="L5257" s="9"/>
      <c r="M5257" s="9"/>
    </row>
    <row r="5258">
      <c r="J5258" s="9"/>
      <c r="K5258" s="9"/>
      <c r="L5258" s="9"/>
      <c r="M5258" s="9"/>
    </row>
    <row r="5259">
      <c r="J5259" s="9"/>
      <c r="K5259" s="9"/>
      <c r="L5259" s="9"/>
      <c r="M5259" s="9"/>
    </row>
    <row r="5260">
      <c r="J5260" s="9"/>
      <c r="K5260" s="9"/>
      <c r="L5260" s="9"/>
      <c r="M5260" s="9"/>
    </row>
    <row r="5261">
      <c r="J5261" s="9"/>
      <c r="K5261" s="9"/>
      <c r="L5261" s="9"/>
      <c r="M5261" s="9"/>
    </row>
    <row r="5262">
      <c r="J5262" s="9"/>
      <c r="K5262" s="9"/>
      <c r="L5262" s="9"/>
      <c r="M5262" s="9"/>
    </row>
    <row r="5263">
      <c r="J5263" s="9"/>
      <c r="K5263" s="9"/>
      <c r="L5263" s="9"/>
      <c r="M5263" s="9"/>
    </row>
    <row r="5264">
      <c r="J5264" s="9"/>
      <c r="K5264" s="9"/>
      <c r="L5264" s="9"/>
      <c r="M5264" s="9"/>
    </row>
    <row r="5265">
      <c r="J5265" s="9"/>
      <c r="K5265" s="9"/>
      <c r="L5265" s="9"/>
      <c r="M5265" s="9"/>
    </row>
    <row r="5266">
      <c r="J5266" s="9"/>
      <c r="K5266" s="9"/>
      <c r="L5266" s="9"/>
      <c r="M5266" s="9"/>
    </row>
    <row r="5267">
      <c r="J5267" s="9"/>
      <c r="K5267" s="9"/>
      <c r="L5267" s="9"/>
      <c r="M5267" s="9"/>
    </row>
    <row r="5268">
      <c r="J5268" s="9"/>
      <c r="K5268" s="9"/>
      <c r="L5268" s="9"/>
      <c r="M5268" s="9"/>
    </row>
    <row r="5269">
      <c r="J5269" s="9"/>
      <c r="K5269" s="9"/>
      <c r="L5269" s="9"/>
      <c r="M5269" s="9"/>
    </row>
    <row r="5270">
      <c r="J5270" s="9"/>
      <c r="K5270" s="9"/>
      <c r="L5270" s="9"/>
      <c r="M5270" s="9"/>
    </row>
    <row r="5271">
      <c r="J5271" s="9"/>
      <c r="K5271" s="9"/>
      <c r="L5271" s="9"/>
      <c r="M5271" s="9"/>
    </row>
    <row r="5272">
      <c r="J5272" s="9"/>
      <c r="K5272" s="9"/>
      <c r="L5272" s="9"/>
      <c r="M5272" s="9"/>
    </row>
    <row r="5273">
      <c r="J5273" s="9"/>
      <c r="K5273" s="9"/>
      <c r="L5273" s="9"/>
      <c r="M5273" s="9"/>
    </row>
    <row r="5274">
      <c r="J5274" s="9"/>
      <c r="K5274" s="9"/>
      <c r="L5274" s="9"/>
      <c r="M5274" s="9"/>
    </row>
    <row r="5275">
      <c r="J5275" s="9"/>
      <c r="K5275" s="9"/>
      <c r="L5275" s="9"/>
      <c r="M5275" s="9"/>
    </row>
    <row r="5276">
      <c r="J5276" s="9"/>
      <c r="K5276" s="9"/>
      <c r="L5276" s="9"/>
      <c r="M5276" s="9"/>
    </row>
    <row r="5277">
      <c r="J5277" s="9"/>
      <c r="K5277" s="9"/>
      <c r="L5277" s="9"/>
      <c r="M5277" s="9"/>
    </row>
    <row r="5278">
      <c r="J5278" s="9"/>
      <c r="K5278" s="9"/>
      <c r="L5278" s="9"/>
      <c r="M5278" s="9"/>
    </row>
    <row r="5279">
      <c r="J5279" s="9"/>
      <c r="K5279" s="9"/>
      <c r="L5279" s="9"/>
      <c r="M5279" s="9"/>
    </row>
    <row r="5280">
      <c r="J5280" s="9"/>
      <c r="K5280" s="9"/>
      <c r="L5280" s="9"/>
      <c r="M5280" s="9"/>
    </row>
    <row r="5281">
      <c r="J5281" s="9"/>
      <c r="K5281" s="9"/>
      <c r="L5281" s="9"/>
      <c r="M5281" s="9"/>
    </row>
    <row r="5282">
      <c r="J5282" s="9"/>
      <c r="K5282" s="9"/>
      <c r="L5282" s="9"/>
      <c r="M5282" s="9"/>
    </row>
    <row r="5283">
      <c r="J5283" s="9"/>
      <c r="K5283" s="9"/>
      <c r="L5283" s="9"/>
      <c r="M5283" s="9"/>
    </row>
    <row r="5284">
      <c r="J5284" s="9"/>
      <c r="K5284" s="9"/>
      <c r="L5284" s="9"/>
      <c r="M5284" s="9"/>
    </row>
    <row r="5285">
      <c r="J5285" s="9"/>
      <c r="K5285" s="9"/>
      <c r="L5285" s="9"/>
      <c r="M5285" s="9"/>
    </row>
    <row r="5286">
      <c r="J5286" s="9"/>
      <c r="K5286" s="9"/>
      <c r="L5286" s="9"/>
      <c r="M5286" s="9"/>
    </row>
    <row r="5287">
      <c r="J5287" s="9"/>
      <c r="K5287" s="9"/>
      <c r="L5287" s="9"/>
      <c r="M5287" s="9"/>
    </row>
    <row r="5288">
      <c r="J5288" s="9"/>
      <c r="K5288" s="9"/>
      <c r="L5288" s="9"/>
      <c r="M5288" s="9"/>
    </row>
    <row r="5289">
      <c r="J5289" s="9"/>
      <c r="K5289" s="9"/>
      <c r="L5289" s="9"/>
      <c r="M5289" s="9"/>
    </row>
    <row r="5290">
      <c r="J5290" s="9"/>
      <c r="K5290" s="9"/>
      <c r="L5290" s="9"/>
      <c r="M5290" s="9"/>
    </row>
    <row r="5291">
      <c r="J5291" s="9"/>
      <c r="K5291" s="9"/>
      <c r="L5291" s="9"/>
      <c r="M5291" s="9"/>
    </row>
    <row r="5292">
      <c r="J5292" s="9"/>
      <c r="K5292" s="9"/>
      <c r="L5292" s="9"/>
      <c r="M5292" s="9"/>
    </row>
    <row r="5293">
      <c r="J5293" s="9"/>
      <c r="K5293" s="9"/>
      <c r="L5293" s="9"/>
      <c r="M5293" s="9"/>
    </row>
    <row r="5294">
      <c r="J5294" s="9"/>
      <c r="K5294" s="9"/>
      <c r="L5294" s="9"/>
      <c r="M5294" s="9"/>
    </row>
    <row r="5295">
      <c r="J5295" s="9"/>
      <c r="K5295" s="9"/>
      <c r="L5295" s="9"/>
      <c r="M5295" s="9"/>
    </row>
    <row r="5296">
      <c r="J5296" s="9"/>
      <c r="K5296" s="9"/>
      <c r="L5296" s="9"/>
      <c r="M5296" s="9"/>
    </row>
    <row r="5297">
      <c r="J5297" s="9"/>
      <c r="K5297" s="9"/>
      <c r="L5297" s="9"/>
      <c r="M5297" s="9"/>
    </row>
    <row r="5298">
      <c r="J5298" s="9"/>
      <c r="K5298" s="9"/>
      <c r="L5298" s="9"/>
      <c r="M5298" s="9"/>
    </row>
    <row r="5299">
      <c r="J5299" s="9"/>
      <c r="K5299" s="9"/>
      <c r="L5299" s="9"/>
      <c r="M5299" s="9"/>
    </row>
    <row r="5300">
      <c r="J5300" s="9"/>
      <c r="K5300" s="9"/>
      <c r="L5300" s="9"/>
      <c r="M5300" s="9"/>
    </row>
    <row r="5301">
      <c r="J5301" s="9"/>
      <c r="K5301" s="9"/>
      <c r="L5301" s="9"/>
      <c r="M5301" s="9"/>
    </row>
    <row r="5302">
      <c r="J5302" s="9"/>
      <c r="K5302" s="9"/>
      <c r="L5302" s="9"/>
      <c r="M5302" s="9"/>
    </row>
    <row r="5303">
      <c r="J5303" s="9"/>
      <c r="K5303" s="9"/>
      <c r="L5303" s="9"/>
      <c r="M5303" s="9"/>
    </row>
    <row r="5304">
      <c r="J5304" s="9"/>
      <c r="K5304" s="9"/>
      <c r="L5304" s="9"/>
      <c r="M5304" s="9"/>
    </row>
    <row r="5305">
      <c r="J5305" s="9"/>
      <c r="K5305" s="9"/>
      <c r="L5305" s="9"/>
      <c r="M5305" s="9"/>
    </row>
    <row r="5306">
      <c r="J5306" s="9"/>
      <c r="K5306" s="9"/>
      <c r="L5306" s="9"/>
      <c r="M5306" s="9"/>
    </row>
    <row r="5307">
      <c r="J5307" s="9"/>
      <c r="K5307" s="9"/>
      <c r="L5307" s="9"/>
      <c r="M5307" s="9"/>
    </row>
    <row r="5308">
      <c r="J5308" s="9"/>
      <c r="K5308" s="9"/>
      <c r="L5308" s="9"/>
      <c r="M5308" s="9"/>
    </row>
    <row r="5309">
      <c r="J5309" s="9"/>
      <c r="K5309" s="9"/>
      <c r="L5309" s="9"/>
      <c r="M5309" s="9"/>
    </row>
    <row r="5310">
      <c r="J5310" s="9"/>
      <c r="K5310" s="9"/>
      <c r="L5310" s="9"/>
      <c r="M5310" s="9"/>
    </row>
    <row r="5311">
      <c r="J5311" s="9"/>
      <c r="K5311" s="9"/>
      <c r="L5311" s="9"/>
      <c r="M5311" s="9"/>
    </row>
    <row r="5312">
      <c r="J5312" s="9"/>
      <c r="K5312" s="9"/>
      <c r="L5312" s="9"/>
      <c r="M5312" s="9"/>
    </row>
    <row r="5313">
      <c r="J5313" s="9"/>
      <c r="K5313" s="9"/>
      <c r="L5313" s="9"/>
      <c r="M5313" s="9"/>
    </row>
    <row r="5314">
      <c r="J5314" s="9"/>
      <c r="K5314" s="9"/>
      <c r="L5314" s="9"/>
      <c r="M5314" s="9"/>
    </row>
    <row r="5315">
      <c r="J5315" s="9"/>
      <c r="K5315" s="9"/>
      <c r="L5315" s="9"/>
      <c r="M5315" s="9"/>
    </row>
    <row r="5316">
      <c r="J5316" s="9"/>
      <c r="K5316" s="9"/>
      <c r="L5316" s="9"/>
      <c r="M5316" s="9"/>
    </row>
    <row r="5317">
      <c r="J5317" s="9"/>
      <c r="K5317" s="9"/>
      <c r="L5317" s="9"/>
      <c r="M5317" s="9"/>
    </row>
    <row r="5318">
      <c r="J5318" s="9"/>
      <c r="K5318" s="9"/>
      <c r="L5318" s="9"/>
      <c r="M5318" s="9"/>
    </row>
    <row r="5319">
      <c r="J5319" s="9"/>
      <c r="K5319" s="9"/>
      <c r="L5319" s="9"/>
      <c r="M5319" s="9"/>
    </row>
    <row r="5320">
      <c r="J5320" s="9"/>
      <c r="K5320" s="9"/>
      <c r="L5320" s="9"/>
      <c r="M5320" s="9"/>
    </row>
    <row r="5321">
      <c r="J5321" s="9"/>
      <c r="K5321" s="9"/>
      <c r="L5321" s="9"/>
      <c r="M5321" s="9"/>
    </row>
    <row r="5322">
      <c r="J5322" s="9"/>
      <c r="K5322" s="9"/>
      <c r="L5322" s="9"/>
      <c r="M5322" s="9"/>
    </row>
    <row r="5323">
      <c r="J5323" s="9"/>
      <c r="K5323" s="9"/>
      <c r="L5323" s="9"/>
      <c r="M5323" s="9"/>
    </row>
    <row r="5324">
      <c r="J5324" s="9"/>
      <c r="K5324" s="9"/>
      <c r="L5324" s="9"/>
      <c r="M5324" s="9"/>
    </row>
    <row r="5325">
      <c r="J5325" s="9"/>
      <c r="K5325" s="9"/>
      <c r="L5325" s="9"/>
      <c r="M5325" s="9"/>
    </row>
    <row r="5326">
      <c r="J5326" s="9"/>
      <c r="K5326" s="9"/>
      <c r="L5326" s="9"/>
      <c r="M5326" s="9"/>
    </row>
    <row r="5327">
      <c r="J5327" s="9"/>
      <c r="K5327" s="9"/>
      <c r="L5327" s="9"/>
      <c r="M5327" s="9"/>
    </row>
    <row r="5328">
      <c r="J5328" s="9"/>
      <c r="K5328" s="9"/>
      <c r="L5328" s="9"/>
      <c r="M5328" s="9"/>
    </row>
    <row r="5329">
      <c r="J5329" s="9"/>
      <c r="K5329" s="9"/>
      <c r="L5329" s="9"/>
      <c r="M5329" s="9"/>
    </row>
    <row r="5330">
      <c r="J5330" s="9"/>
      <c r="K5330" s="9"/>
      <c r="L5330" s="9"/>
      <c r="M5330" s="9"/>
    </row>
    <row r="5331">
      <c r="J5331" s="9"/>
      <c r="K5331" s="9"/>
      <c r="L5331" s="9"/>
      <c r="M5331" s="9"/>
    </row>
    <row r="5332">
      <c r="J5332" s="9"/>
      <c r="K5332" s="9"/>
      <c r="L5332" s="9"/>
      <c r="M5332" s="9"/>
    </row>
    <row r="5333">
      <c r="J5333" s="9"/>
      <c r="K5333" s="9"/>
      <c r="L5333" s="9"/>
      <c r="M5333" s="9"/>
    </row>
    <row r="5334">
      <c r="J5334" s="9"/>
      <c r="K5334" s="9"/>
      <c r="L5334" s="9"/>
      <c r="M5334" s="9"/>
    </row>
    <row r="5335">
      <c r="J5335" s="9"/>
      <c r="K5335" s="9"/>
      <c r="L5335" s="9"/>
      <c r="M5335" s="9"/>
    </row>
    <row r="5336">
      <c r="J5336" s="9"/>
      <c r="K5336" s="9"/>
      <c r="L5336" s="9"/>
      <c r="M5336" s="9"/>
    </row>
    <row r="5337">
      <c r="J5337" s="9"/>
      <c r="K5337" s="9"/>
      <c r="L5337" s="9"/>
      <c r="M5337" s="9"/>
    </row>
    <row r="5338">
      <c r="J5338" s="9"/>
      <c r="K5338" s="9"/>
      <c r="L5338" s="9"/>
      <c r="M5338" s="9"/>
    </row>
    <row r="5339">
      <c r="J5339" s="9"/>
      <c r="K5339" s="9"/>
      <c r="L5339" s="9"/>
      <c r="M5339" s="9"/>
    </row>
    <row r="5340">
      <c r="J5340" s="9"/>
      <c r="K5340" s="9"/>
      <c r="L5340" s="9"/>
      <c r="M5340" s="9"/>
    </row>
    <row r="5341">
      <c r="J5341" s="9"/>
      <c r="K5341" s="9"/>
      <c r="L5341" s="9"/>
      <c r="M5341" s="9"/>
    </row>
    <row r="5342">
      <c r="J5342" s="9"/>
      <c r="K5342" s="9"/>
      <c r="L5342" s="9"/>
      <c r="M5342" s="9"/>
    </row>
    <row r="5343">
      <c r="J5343" s="9"/>
      <c r="K5343" s="9"/>
      <c r="L5343" s="9"/>
      <c r="M5343" s="9"/>
    </row>
    <row r="5344">
      <c r="J5344" s="9"/>
      <c r="K5344" s="9"/>
      <c r="L5344" s="9"/>
      <c r="M5344" s="9"/>
    </row>
    <row r="5345">
      <c r="J5345" s="9"/>
      <c r="K5345" s="9"/>
      <c r="L5345" s="9"/>
      <c r="M5345" s="9"/>
    </row>
    <row r="5346">
      <c r="J5346" s="9"/>
      <c r="K5346" s="9"/>
      <c r="L5346" s="9"/>
      <c r="M5346" s="9"/>
    </row>
    <row r="5347">
      <c r="J5347" s="9"/>
      <c r="K5347" s="9"/>
      <c r="L5347" s="9"/>
      <c r="M5347" s="9"/>
    </row>
    <row r="5348">
      <c r="J5348" s="9"/>
      <c r="K5348" s="9"/>
      <c r="L5348" s="9"/>
      <c r="M5348" s="9"/>
    </row>
    <row r="5349">
      <c r="J5349" s="9"/>
      <c r="K5349" s="9"/>
      <c r="L5349" s="9"/>
      <c r="M5349" s="9"/>
    </row>
    <row r="5350">
      <c r="J5350" s="9"/>
      <c r="K5350" s="9"/>
      <c r="L5350" s="9"/>
      <c r="M5350" s="9"/>
    </row>
    <row r="5351">
      <c r="J5351" s="9"/>
      <c r="K5351" s="9"/>
      <c r="L5351" s="9"/>
      <c r="M5351" s="9"/>
    </row>
    <row r="5352">
      <c r="J5352" s="9"/>
      <c r="K5352" s="9"/>
      <c r="L5352" s="9"/>
      <c r="M5352" s="9"/>
    </row>
    <row r="5353">
      <c r="J5353" s="9"/>
      <c r="K5353" s="9"/>
      <c r="L5353" s="9"/>
      <c r="M5353" s="9"/>
    </row>
    <row r="5354">
      <c r="J5354" s="9"/>
      <c r="K5354" s="9"/>
      <c r="L5354" s="9"/>
      <c r="M5354" s="9"/>
    </row>
    <row r="5355">
      <c r="J5355" s="9"/>
      <c r="K5355" s="9"/>
      <c r="L5355" s="9"/>
      <c r="M5355" s="9"/>
    </row>
    <row r="5356">
      <c r="J5356" s="9"/>
      <c r="K5356" s="9"/>
      <c r="L5356" s="9"/>
      <c r="M5356" s="9"/>
    </row>
    <row r="5357">
      <c r="J5357" s="9"/>
      <c r="K5357" s="9"/>
      <c r="L5357" s="9"/>
      <c r="M5357" s="9"/>
    </row>
    <row r="5358">
      <c r="J5358" s="9"/>
      <c r="K5358" s="9"/>
      <c r="L5358" s="9"/>
      <c r="M5358" s="9"/>
    </row>
    <row r="5359">
      <c r="J5359" s="9"/>
      <c r="K5359" s="9"/>
      <c r="L5359" s="9"/>
      <c r="M5359" s="9"/>
    </row>
    <row r="5360">
      <c r="J5360" s="9"/>
      <c r="K5360" s="9"/>
      <c r="L5360" s="9"/>
      <c r="M5360" s="9"/>
    </row>
    <row r="5361">
      <c r="J5361" s="9"/>
      <c r="K5361" s="9"/>
      <c r="L5361" s="9"/>
      <c r="M5361" s="9"/>
    </row>
    <row r="5362">
      <c r="J5362" s="9"/>
      <c r="K5362" s="9"/>
      <c r="L5362" s="9"/>
      <c r="M5362" s="9"/>
    </row>
    <row r="5363">
      <c r="J5363" s="9"/>
      <c r="K5363" s="9"/>
      <c r="L5363" s="9"/>
      <c r="M5363" s="9"/>
    </row>
    <row r="5364">
      <c r="J5364" s="9"/>
      <c r="K5364" s="9"/>
      <c r="L5364" s="9"/>
      <c r="M5364" s="9"/>
    </row>
    <row r="5365">
      <c r="J5365" s="9"/>
      <c r="K5365" s="9"/>
      <c r="L5365" s="9"/>
      <c r="M5365" s="9"/>
    </row>
    <row r="5366">
      <c r="J5366" s="9"/>
      <c r="K5366" s="9"/>
      <c r="L5366" s="9"/>
      <c r="M5366" s="9"/>
    </row>
    <row r="5367">
      <c r="J5367" s="9"/>
      <c r="K5367" s="9"/>
      <c r="L5367" s="9"/>
      <c r="M5367" s="9"/>
    </row>
    <row r="5368">
      <c r="J5368" s="9"/>
      <c r="K5368" s="9"/>
      <c r="L5368" s="9"/>
      <c r="M5368" s="9"/>
    </row>
    <row r="5369">
      <c r="J5369" s="9"/>
      <c r="K5369" s="9"/>
      <c r="L5369" s="9"/>
      <c r="M5369" s="9"/>
    </row>
    <row r="5370">
      <c r="J5370" s="9"/>
      <c r="K5370" s="9"/>
      <c r="L5370" s="9"/>
      <c r="M5370" s="9"/>
    </row>
    <row r="5371">
      <c r="J5371" s="9"/>
      <c r="K5371" s="9"/>
      <c r="L5371" s="9"/>
      <c r="M5371" s="9"/>
    </row>
    <row r="5372">
      <c r="J5372" s="9"/>
      <c r="K5372" s="9"/>
      <c r="L5372" s="9"/>
      <c r="M5372" s="9"/>
    </row>
    <row r="5373">
      <c r="J5373" s="9"/>
      <c r="K5373" s="9"/>
      <c r="L5373" s="9"/>
      <c r="M5373" s="9"/>
    </row>
    <row r="5374">
      <c r="J5374" s="9"/>
      <c r="K5374" s="9"/>
      <c r="L5374" s="9"/>
      <c r="M5374" s="9"/>
    </row>
    <row r="5375">
      <c r="J5375" s="9"/>
      <c r="K5375" s="9"/>
      <c r="L5375" s="9"/>
      <c r="M5375" s="9"/>
    </row>
    <row r="5376">
      <c r="J5376" s="9"/>
      <c r="K5376" s="9"/>
      <c r="L5376" s="9"/>
      <c r="M5376" s="9"/>
    </row>
    <row r="5377">
      <c r="J5377" s="9"/>
      <c r="K5377" s="9"/>
      <c r="L5377" s="9"/>
      <c r="M5377" s="9"/>
    </row>
    <row r="5378">
      <c r="J5378" s="9"/>
      <c r="K5378" s="9"/>
      <c r="L5378" s="9"/>
      <c r="M5378" s="9"/>
    </row>
    <row r="5379">
      <c r="J5379" s="9"/>
      <c r="K5379" s="9"/>
      <c r="L5379" s="9"/>
      <c r="M5379" s="9"/>
    </row>
    <row r="5380">
      <c r="J5380" s="9"/>
      <c r="K5380" s="9"/>
      <c r="L5380" s="9"/>
      <c r="M5380" s="9"/>
    </row>
    <row r="5381">
      <c r="J5381" s="9"/>
      <c r="K5381" s="9"/>
      <c r="L5381" s="9"/>
      <c r="M5381" s="9"/>
    </row>
    <row r="5382">
      <c r="J5382" s="9"/>
      <c r="K5382" s="9"/>
      <c r="L5382" s="9"/>
      <c r="M5382" s="9"/>
    </row>
    <row r="5383">
      <c r="J5383" s="9"/>
      <c r="K5383" s="9"/>
      <c r="L5383" s="9"/>
      <c r="M5383" s="9"/>
    </row>
    <row r="5384">
      <c r="J5384" s="9"/>
      <c r="K5384" s="9"/>
      <c r="L5384" s="9"/>
      <c r="M5384" s="9"/>
    </row>
    <row r="5385">
      <c r="J5385" s="9"/>
      <c r="K5385" s="9"/>
      <c r="L5385" s="9"/>
      <c r="M5385" s="9"/>
    </row>
    <row r="5386">
      <c r="J5386" s="9"/>
      <c r="K5386" s="9"/>
      <c r="L5386" s="9"/>
      <c r="M5386" s="9"/>
    </row>
    <row r="5387">
      <c r="J5387" s="9"/>
      <c r="K5387" s="9"/>
      <c r="L5387" s="9"/>
      <c r="M5387" s="9"/>
    </row>
    <row r="5388">
      <c r="J5388" s="9"/>
      <c r="K5388" s="9"/>
      <c r="L5388" s="9"/>
      <c r="M5388" s="9"/>
    </row>
    <row r="5389">
      <c r="J5389" s="9"/>
      <c r="K5389" s="9"/>
      <c r="L5389" s="9"/>
      <c r="M5389" s="9"/>
    </row>
    <row r="5390">
      <c r="J5390" s="9"/>
      <c r="K5390" s="9"/>
      <c r="L5390" s="9"/>
      <c r="M5390" s="9"/>
    </row>
    <row r="5391">
      <c r="J5391" s="9"/>
      <c r="K5391" s="9"/>
      <c r="L5391" s="9"/>
      <c r="M5391" s="9"/>
    </row>
    <row r="5392">
      <c r="J5392" s="9"/>
      <c r="K5392" s="9"/>
      <c r="L5392" s="9"/>
      <c r="M5392" s="9"/>
    </row>
    <row r="5393">
      <c r="J5393" s="9"/>
      <c r="K5393" s="9"/>
      <c r="L5393" s="9"/>
      <c r="M5393" s="9"/>
    </row>
    <row r="5394">
      <c r="J5394" s="9"/>
      <c r="K5394" s="9"/>
      <c r="L5394" s="9"/>
      <c r="M5394" s="9"/>
    </row>
    <row r="5395">
      <c r="J5395" s="9"/>
      <c r="K5395" s="9"/>
      <c r="L5395" s="9"/>
      <c r="M5395" s="9"/>
    </row>
    <row r="5396">
      <c r="J5396" s="9"/>
      <c r="K5396" s="9"/>
      <c r="L5396" s="9"/>
      <c r="M5396" s="9"/>
    </row>
    <row r="5397">
      <c r="J5397" s="9"/>
      <c r="K5397" s="9"/>
      <c r="L5397" s="9"/>
      <c r="M5397" s="9"/>
    </row>
    <row r="5398">
      <c r="J5398" s="9"/>
      <c r="K5398" s="9"/>
      <c r="L5398" s="9"/>
      <c r="M5398" s="9"/>
    </row>
    <row r="5399">
      <c r="J5399" s="9"/>
      <c r="K5399" s="9"/>
      <c r="L5399" s="9"/>
      <c r="M5399" s="9"/>
    </row>
    <row r="5400">
      <c r="J5400" s="9"/>
      <c r="K5400" s="9"/>
      <c r="L5400" s="9"/>
      <c r="M5400" s="9"/>
    </row>
    <row r="5401">
      <c r="J5401" s="9"/>
      <c r="K5401" s="9"/>
      <c r="L5401" s="9"/>
      <c r="M5401" s="9"/>
    </row>
    <row r="5402">
      <c r="J5402" s="9"/>
      <c r="K5402" s="9"/>
      <c r="L5402" s="9"/>
      <c r="M5402" s="9"/>
    </row>
    <row r="5403">
      <c r="J5403" s="9"/>
      <c r="K5403" s="9"/>
      <c r="L5403" s="9"/>
      <c r="M5403" s="9"/>
    </row>
    <row r="5404">
      <c r="J5404" s="9"/>
      <c r="K5404" s="9"/>
      <c r="L5404" s="9"/>
      <c r="M5404" s="9"/>
    </row>
    <row r="5405">
      <c r="J5405" s="9"/>
      <c r="K5405" s="9"/>
      <c r="L5405" s="9"/>
      <c r="M5405" s="9"/>
    </row>
    <row r="5406">
      <c r="J5406" s="9"/>
      <c r="K5406" s="9"/>
      <c r="L5406" s="9"/>
      <c r="M5406" s="9"/>
    </row>
    <row r="5407">
      <c r="J5407" s="9"/>
      <c r="K5407" s="9"/>
      <c r="L5407" s="9"/>
      <c r="M5407" s="9"/>
    </row>
    <row r="5408">
      <c r="J5408" s="9"/>
      <c r="K5408" s="9"/>
      <c r="L5408" s="9"/>
      <c r="M5408" s="9"/>
    </row>
    <row r="5409">
      <c r="J5409" s="9"/>
      <c r="K5409" s="9"/>
      <c r="L5409" s="9"/>
      <c r="M5409" s="9"/>
    </row>
    <row r="5410">
      <c r="J5410" s="9"/>
      <c r="K5410" s="9"/>
      <c r="L5410" s="9"/>
      <c r="M5410" s="9"/>
    </row>
    <row r="5411">
      <c r="J5411" s="9"/>
      <c r="K5411" s="9"/>
      <c r="L5411" s="9"/>
      <c r="M5411" s="9"/>
    </row>
    <row r="5412">
      <c r="J5412" s="9"/>
      <c r="K5412" s="9"/>
      <c r="L5412" s="9"/>
      <c r="M5412" s="9"/>
    </row>
    <row r="5413">
      <c r="J5413" s="9"/>
      <c r="K5413" s="9"/>
      <c r="L5413" s="9"/>
      <c r="M5413" s="9"/>
    </row>
    <row r="5414">
      <c r="J5414" s="9"/>
      <c r="K5414" s="9"/>
      <c r="L5414" s="9"/>
      <c r="M5414" s="9"/>
    </row>
    <row r="5415">
      <c r="J5415" s="9"/>
      <c r="K5415" s="9"/>
      <c r="L5415" s="9"/>
      <c r="M5415" s="9"/>
    </row>
    <row r="5416">
      <c r="J5416" s="9"/>
      <c r="K5416" s="9"/>
      <c r="L5416" s="9"/>
      <c r="M5416" s="9"/>
    </row>
    <row r="5417">
      <c r="J5417" s="9"/>
      <c r="K5417" s="9"/>
      <c r="L5417" s="9"/>
      <c r="M5417" s="9"/>
    </row>
    <row r="5418">
      <c r="J5418" s="9"/>
      <c r="K5418" s="9"/>
      <c r="L5418" s="9"/>
      <c r="M5418" s="9"/>
    </row>
    <row r="5419">
      <c r="J5419" s="9"/>
      <c r="K5419" s="9"/>
      <c r="L5419" s="9"/>
      <c r="M5419" s="9"/>
    </row>
    <row r="5420">
      <c r="J5420" s="9"/>
      <c r="K5420" s="9"/>
      <c r="L5420" s="9"/>
      <c r="M5420" s="9"/>
    </row>
    <row r="5421">
      <c r="J5421" s="9"/>
      <c r="K5421" s="9"/>
      <c r="L5421" s="9"/>
      <c r="M5421" s="9"/>
    </row>
    <row r="5422">
      <c r="J5422" s="9"/>
      <c r="K5422" s="9"/>
      <c r="L5422" s="9"/>
      <c r="M5422" s="9"/>
    </row>
    <row r="5423">
      <c r="J5423" s="9"/>
      <c r="K5423" s="9"/>
      <c r="L5423" s="9"/>
      <c r="M5423" s="9"/>
    </row>
    <row r="5424">
      <c r="J5424" s="9"/>
      <c r="K5424" s="9"/>
      <c r="L5424" s="9"/>
      <c r="M5424" s="9"/>
    </row>
    <row r="5425">
      <c r="J5425" s="9"/>
      <c r="K5425" s="9"/>
      <c r="L5425" s="9"/>
      <c r="M5425" s="9"/>
    </row>
    <row r="5426">
      <c r="J5426" s="9"/>
      <c r="K5426" s="9"/>
      <c r="L5426" s="9"/>
      <c r="M5426" s="9"/>
    </row>
    <row r="5427">
      <c r="J5427" s="9"/>
      <c r="K5427" s="9"/>
      <c r="L5427" s="9"/>
      <c r="M5427" s="9"/>
    </row>
    <row r="5428">
      <c r="J5428" s="9"/>
      <c r="K5428" s="9"/>
      <c r="L5428" s="9"/>
      <c r="M5428" s="9"/>
    </row>
    <row r="5429">
      <c r="J5429" s="9"/>
      <c r="K5429" s="9"/>
      <c r="L5429" s="9"/>
      <c r="M5429" s="9"/>
    </row>
    <row r="5430">
      <c r="J5430" s="9"/>
      <c r="K5430" s="9"/>
      <c r="L5430" s="9"/>
      <c r="M5430" s="9"/>
    </row>
    <row r="5431">
      <c r="J5431" s="9"/>
      <c r="K5431" s="9"/>
      <c r="L5431" s="9"/>
      <c r="M5431" s="9"/>
    </row>
    <row r="5432">
      <c r="J5432" s="9"/>
      <c r="K5432" s="9"/>
      <c r="L5432" s="9"/>
      <c r="M5432" s="9"/>
    </row>
    <row r="5433">
      <c r="J5433" s="9"/>
      <c r="K5433" s="9"/>
      <c r="L5433" s="9"/>
      <c r="M5433" s="9"/>
    </row>
    <row r="5434">
      <c r="J5434" s="9"/>
      <c r="K5434" s="9"/>
      <c r="L5434" s="9"/>
      <c r="M5434" s="9"/>
    </row>
    <row r="5435">
      <c r="J5435" s="9"/>
      <c r="K5435" s="9"/>
      <c r="L5435" s="9"/>
      <c r="M5435" s="9"/>
    </row>
    <row r="5436">
      <c r="J5436" s="9"/>
      <c r="K5436" s="9"/>
      <c r="L5436" s="9"/>
      <c r="M5436" s="9"/>
    </row>
    <row r="5437">
      <c r="J5437" s="9"/>
      <c r="K5437" s="9"/>
      <c r="L5437" s="9"/>
      <c r="M5437" s="9"/>
    </row>
    <row r="5438">
      <c r="J5438" s="9"/>
      <c r="K5438" s="9"/>
      <c r="L5438" s="9"/>
      <c r="M5438" s="9"/>
    </row>
    <row r="5439">
      <c r="J5439" s="9"/>
      <c r="K5439" s="9"/>
      <c r="L5439" s="9"/>
      <c r="M5439" s="9"/>
    </row>
    <row r="5440">
      <c r="J5440" s="9"/>
      <c r="K5440" s="9"/>
      <c r="L5440" s="9"/>
      <c r="M5440" s="9"/>
    </row>
    <row r="5441">
      <c r="J5441" s="9"/>
      <c r="K5441" s="9"/>
      <c r="L5441" s="9"/>
      <c r="M5441" s="9"/>
    </row>
    <row r="5442">
      <c r="J5442" s="9"/>
      <c r="K5442" s="9"/>
      <c r="L5442" s="9"/>
      <c r="M5442" s="9"/>
    </row>
    <row r="5443">
      <c r="J5443" s="9"/>
      <c r="K5443" s="9"/>
      <c r="L5443" s="9"/>
      <c r="M5443" s="9"/>
    </row>
    <row r="5444">
      <c r="J5444" s="9"/>
      <c r="K5444" s="9"/>
      <c r="L5444" s="9"/>
      <c r="M5444" s="9"/>
    </row>
    <row r="5445">
      <c r="J5445" s="9"/>
      <c r="K5445" s="9"/>
      <c r="L5445" s="9"/>
      <c r="M5445" s="9"/>
    </row>
    <row r="5446">
      <c r="J5446" s="9"/>
      <c r="K5446" s="9"/>
      <c r="L5446" s="9"/>
      <c r="M5446" s="9"/>
    </row>
    <row r="5447">
      <c r="J5447" s="9"/>
      <c r="K5447" s="9"/>
      <c r="L5447" s="9"/>
      <c r="M5447" s="9"/>
    </row>
    <row r="5448">
      <c r="J5448" s="9"/>
      <c r="K5448" s="9"/>
      <c r="L5448" s="9"/>
      <c r="M5448" s="9"/>
    </row>
    <row r="5449">
      <c r="J5449" s="9"/>
      <c r="K5449" s="9"/>
      <c r="L5449" s="9"/>
      <c r="M5449" s="9"/>
    </row>
    <row r="5450">
      <c r="J5450" s="9"/>
      <c r="K5450" s="9"/>
      <c r="L5450" s="9"/>
      <c r="M5450" s="9"/>
    </row>
    <row r="5451">
      <c r="J5451" s="9"/>
      <c r="K5451" s="9"/>
      <c r="L5451" s="9"/>
      <c r="M5451" s="9"/>
    </row>
    <row r="5452">
      <c r="J5452" s="9"/>
      <c r="K5452" s="9"/>
      <c r="L5452" s="9"/>
      <c r="M5452" s="9"/>
    </row>
    <row r="5453">
      <c r="J5453" s="9"/>
      <c r="K5453" s="9"/>
      <c r="L5453" s="9"/>
      <c r="M5453" s="9"/>
    </row>
    <row r="5454">
      <c r="J5454" s="9"/>
      <c r="K5454" s="9"/>
      <c r="L5454" s="9"/>
      <c r="M5454" s="9"/>
    </row>
    <row r="5455">
      <c r="J5455" s="9"/>
      <c r="K5455" s="9"/>
      <c r="L5455" s="9"/>
      <c r="M5455" s="9"/>
    </row>
    <row r="5456">
      <c r="J5456" s="9"/>
      <c r="K5456" s="9"/>
      <c r="L5456" s="9"/>
      <c r="M5456" s="9"/>
    </row>
    <row r="5457">
      <c r="J5457" s="9"/>
      <c r="K5457" s="9"/>
      <c r="L5457" s="9"/>
      <c r="M5457" s="9"/>
    </row>
    <row r="5458">
      <c r="J5458" s="9"/>
      <c r="K5458" s="9"/>
      <c r="L5458" s="9"/>
      <c r="M5458" s="9"/>
    </row>
    <row r="5459">
      <c r="J5459" s="9"/>
      <c r="K5459" s="9"/>
      <c r="L5459" s="9"/>
      <c r="M5459" s="9"/>
    </row>
    <row r="5460">
      <c r="J5460" s="9"/>
      <c r="K5460" s="9"/>
      <c r="L5460" s="9"/>
      <c r="M5460" s="9"/>
    </row>
    <row r="5461">
      <c r="J5461" s="9"/>
      <c r="K5461" s="9"/>
      <c r="L5461" s="9"/>
      <c r="M5461" s="9"/>
    </row>
    <row r="5462">
      <c r="J5462" s="9"/>
      <c r="K5462" s="9"/>
      <c r="L5462" s="9"/>
      <c r="M5462" s="9"/>
    </row>
    <row r="5463">
      <c r="J5463" s="9"/>
      <c r="K5463" s="9"/>
      <c r="L5463" s="9"/>
      <c r="M5463" s="9"/>
    </row>
    <row r="5464">
      <c r="J5464" s="9"/>
      <c r="K5464" s="9"/>
      <c r="L5464" s="9"/>
      <c r="M5464" s="9"/>
    </row>
    <row r="5465">
      <c r="J5465" s="9"/>
      <c r="K5465" s="9"/>
      <c r="L5465" s="9"/>
      <c r="M5465" s="9"/>
    </row>
    <row r="5466">
      <c r="J5466" s="9"/>
      <c r="K5466" s="9"/>
      <c r="L5466" s="9"/>
      <c r="M5466" s="9"/>
    </row>
    <row r="5467">
      <c r="J5467" s="9"/>
      <c r="K5467" s="9"/>
      <c r="L5467" s="9"/>
      <c r="M5467" s="9"/>
    </row>
    <row r="5468">
      <c r="J5468" s="9"/>
      <c r="K5468" s="9"/>
      <c r="L5468" s="9"/>
      <c r="M5468" s="9"/>
    </row>
    <row r="5469">
      <c r="J5469" s="9"/>
      <c r="K5469" s="9"/>
      <c r="L5469" s="9"/>
      <c r="M5469" s="9"/>
    </row>
    <row r="5470">
      <c r="J5470" s="9"/>
      <c r="K5470" s="9"/>
      <c r="L5470" s="9"/>
      <c r="M5470" s="9"/>
    </row>
    <row r="5471">
      <c r="J5471" s="9"/>
      <c r="K5471" s="9"/>
      <c r="L5471" s="9"/>
      <c r="M5471" s="9"/>
    </row>
    <row r="5472">
      <c r="J5472" s="9"/>
      <c r="K5472" s="9"/>
      <c r="L5472" s="9"/>
      <c r="M5472" s="9"/>
    </row>
    <row r="5473">
      <c r="J5473" s="9"/>
      <c r="K5473" s="9"/>
      <c r="L5473" s="9"/>
      <c r="M5473" s="9"/>
    </row>
    <row r="5474">
      <c r="J5474" s="9"/>
      <c r="K5474" s="9"/>
      <c r="L5474" s="9"/>
      <c r="M5474" s="9"/>
    </row>
    <row r="5475">
      <c r="J5475" s="9"/>
      <c r="K5475" s="9"/>
      <c r="L5475" s="9"/>
      <c r="M5475" s="9"/>
    </row>
    <row r="5476">
      <c r="J5476" s="9"/>
      <c r="K5476" s="9"/>
      <c r="L5476" s="9"/>
      <c r="M5476" s="9"/>
    </row>
    <row r="5477">
      <c r="J5477" s="9"/>
      <c r="K5477" s="9"/>
      <c r="L5477" s="9"/>
      <c r="M5477" s="9"/>
    </row>
    <row r="5478">
      <c r="J5478" s="9"/>
      <c r="K5478" s="9"/>
      <c r="L5478" s="9"/>
      <c r="M5478" s="9"/>
    </row>
    <row r="5479">
      <c r="J5479" s="9"/>
      <c r="K5479" s="9"/>
      <c r="L5479" s="9"/>
      <c r="M5479" s="9"/>
    </row>
    <row r="5480">
      <c r="J5480" s="9"/>
      <c r="K5480" s="9"/>
      <c r="L5480" s="9"/>
      <c r="M5480" s="9"/>
    </row>
    <row r="5481">
      <c r="J5481" s="9"/>
      <c r="K5481" s="9"/>
      <c r="L5481" s="9"/>
      <c r="M5481" s="9"/>
    </row>
    <row r="5482">
      <c r="J5482" s="9"/>
      <c r="K5482" s="9"/>
      <c r="L5482" s="9"/>
      <c r="M5482" s="9"/>
    </row>
    <row r="5483">
      <c r="J5483" s="9"/>
      <c r="K5483" s="9"/>
      <c r="L5483" s="9"/>
      <c r="M5483" s="9"/>
    </row>
    <row r="5484">
      <c r="J5484" s="9"/>
      <c r="K5484" s="9"/>
      <c r="L5484" s="9"/>
      <c r="M5484" s="9"/>
    </row>
    <row r="5485">
      <c r="J5485" s="9"/>
      <c r="K5485" s="9"/>
      <c r="L5485" s="9"/>
      <c r="M5485" s="9"/>
    </row>
    <row r="5486">
      <c r="J5486" s="9"/>
      <c r="K5486" s="9"/>
      <c r="L5486" s="9"/>
      <c r="M5486" s="9"/>
    </row>
    <row r="5487">
      <c r="J5487" s="9"/>
      <c r="K5487" s="9"/>
      <c r="L5487" s="9"/>
      <c r="M5487" s="9"/>
    </row>
    <row r="5488">
      <c r="J5488" s="9"/>
      <c r="K5488" s="9"/>
      <c r="L5488" s="9"/>
      <c r="M5488" s="9"/>
    </row>
    <row r="5489">
      <c r="J5489" s="9"/>
      <c r="K5489" s="9"/>
      <c r="L5489" s="9"/>
      <c r="M5489" s="9"/>
    </row>
    <row r="5490">
      <c r="J5490" s="9"/>
      <c r="K5490" s="9"/>
      <c r="L5490" s="9"/>
      <c r="M5490" s="9"/>
    </row>
    <row r="5491">
      <c r="J5491" s="9"/>
      <c r="K5491" s="9"/>
      <c r="L5491" s="9"/>
      <c r="M5491" s="9"/>
    </row>
    <row r="5492">
      <c r="J5492" s="9"/>
      <c r="K5492" s="9"/>
      <c r="L5492" s="9"/>
      <c r="M5492" s="9"/>
    </row>
    <row r="5493">
      <c r="J5493" s="9"/>
      <c r="K5493" s="9"/>
      <c r="L5493" s="9"/>
      <c r="M5493" s="9"/>
    </row>
    <row r="5494">
      <c r="J5494" s="9"/>
      <c r="K5494" s="9"/>
      <c r="L5494" s="9"/>
      <c r="M5494" s="9"/>
    </row>
    <row r="5495">
      <c r="J5495" s="9"/>
      <c r="K5495" s="9"/>
      <c r="L5495" s="9"/>
      <c r="M5495" s="9"/>
    </row>
    <row r="5496">
      <c r="J5496" s="9"/>
      <c r="K5496" s="9"/>
      <c r="L5496" s="9"/>
      <c r="M5496" s="9"/>
    </row>
    <row r="5497">
      <c r="J5497" s="9"/>
      <c r="K5497" s="9"/>
      <c r="L5497" s="9"/>
      <c r="M5497" s="9"/>
    </row>
    <row r="5498">
      <c r="J5498" s="9"/>
      <c r="K5498" s="9"/>
      <c r="L5498" s="9"/>
      <c r="M5498" s="9"/>
    </row>
    <row r="5499">
      <c r="J5499" s="9"/>
      <c r="K5499" s="9"/>
      <c r="L5499" s="9"/>
      <c r="M5499" s="9"/>
    </row>
    <row r="5500">
      <c r="J5500" s="9"/>
      <c r="K5500" s="9"/>
      <c r="L5500" s="9"/>
      <c r="M5500" s="9"/>
    </row>
    <row r="5501">
      <c r="J5501" s="9"/>
      <c r="K5501" s="9"/>
      <c r="L5501" s="9"/>
      <c r="M5501" s="9"/>
    </row>
    <row r="5502">
      <c r="J5502" s="9"/>
      <c r="K5502" s="9"/>
      <c r="L5502" s="9"/>
      <c r="M5502" s="9"/>
    </row>
    <row r="5503">
      <c r="J5503" s="9"/>
      <c r="K5503" s="9"/>
      <c r="L5503" s="9"/>
      <c r="M5503" s="9"/>
    </row>
    <row r="5504">
      <c r="J5504" s="9"/>
      <c r="K5504" s="9"/>
      <c r="L5504" s="9"/>
      <c r="M5504" s="9"/>
    </row>
    <row r="5505">
      <c r="J5505" s="9"/>
      <c r="K5505" s="9"/>
      <c r="L5505" s="9"/>
      <c r="M5505" s="9"/>
    </row>
    <row r="5506">
      <c r="J5506" s="9"/>
      <c r="K5506" s="9"/>
      <c r="L5506" s="9"/>
      <c r="M5506" s="9"/>
    </row>
    <row r="5507">
      <c r="J5507" s="9"/>
      <c r="K5507" s="9"/>
      <c r="L5507" s="9"/>
      <c r="M5507" s="9"/>
    </row>
    <row r="5508">
      <c r="J5508" s="9"/>
      <c r="K5508" s="9"/>
      <c r="L5508" s="9"/>
      <c r="M5508" s="9"/>
    </row>
    <row r="5509">
      <c r="J5509" s="9"/>
      <c r="K5509" s="9"/>
      <c r="L5509" s="9"/>
      <c r="M5509" s="9"/>
    </row>
    <row r="5510">
      <c r="J5510" s="9"/>
      <c r="K5510" s="9"/>
      <c r="L5510" s="9"/>
      <c r="M5510" s="9"/>
    </row>
    <row r="5511">
      <c r="J5511" s="9"/>
      <c r="K5511" s="9"/>
      <c r="L5511" s="9"/>
      <c r="M5511" s="9"/>
    </row>
    <row r="5512">
      <c r="J5512" s="9"/>
      <c r="K5512" s="9"/>
      <c r="L5512" s="9"/>
      <c r="M5512" s="9"/>
    </row>
    <row r="5513">
      <c r="J5513" s="9"/>
      <c r="K5513" s="9"/>
      <c r="L5513" s="9"/>
      <c r="M5513" s="9"/>
    </row>
    <row r="5514">
      <c r="J5514" s="9"/>
      <c r="K5514" s="9"/>
      <c r="L5514" s="9"/>
      <c r="M5514" s="9"/>
    </row>
    <row r="5515">
      <c r="J5515" s="9"/>
      <c r="K5515" s="9"/>
      <c r="L5515" s="9"/>
      <c r="M5515" s="9"/>
    </row>
    <row r="5516">
      <c r="J5516" s="9"/>
      <c r="K5516" s="9"/>
      <c r="L5516" s="9"/>
      <c r="M5516" s="9"/>
    </row>
    <row r="5517">
      <c r="J5517" s="9"/>
      <c r="K5517" s="9"/>
      <c r="L5517" s="9"/>
      <c r="M5517" s="9"/>
    </row>
    <row r="5518">
      <c r="J5518" s="9"/>
      <c r="K5518" s="9"/>
      <c r="L5518" s="9"/>
      <c r="M5518" s="9"/>
    </row>
    <row r="5519">
      <c r="J5519" s="9"/>
      <c r="K5519" s="9"/>
      <c r="L5519" s="9"/>
      <c r="M5519" s="9"/>
    </row>
    <row r="5520">
      <c r="J5520" s="9"/>
      <c r="K5520" s="9"/>
      <c r="L5520" s="9"/>
      <c r="M5520" s="9"/>
    </row>
    <row r="5521">
      <c r="J5521" s="9"/>
      <c r="K5521" s="9"/>
      <c r="L5521" s="9"/>
      <c r="M5521" s="9"/>
    </row>
    <row r="5522">
      <c r="J5522" s="9"/>
      <c r="K5522" s="9"/>
      <c r="L5522" s="9"/>
      <c r="M5522" s="9"/>
    </row>
    <row r="5523">
      <c r="J5523" s="9"/>
      <c r="K5523" s="9"/>
      <c r="L5523" s="9"/>
      <c r="M5523" s="9"/>
    </row>
    <row r="5524">
      <c r="J5524" s="9"/>
      <c r="K5524" s="9"/>
      <c r="L5524" s="9"/>
      <c r="M5524" s="9"/>
    </row>
    <row r="5525">
      <c r="J5525" s="9"/>
      <c r="K5525" s="9"/>
      <c r="L5525" s="9"/>
      <c r="M5525" s="9"/>
    </row>
    <row r="5526">
      <c r="J5526" s="9"/>
      <c r="K5526" s="9"/>
      <c r="L5526" s="9"/>
      <c r="M5526" s="9"/>
    </row>
    <row r="5527">
      <c r="J5527" s="9"/>
      <c r="K5527" s="9"/>
      <c r="L5527" s="9"/>
      <c r="M5527" s="9"/>
    </row>
    <row r="5528">
      <c r="J5528" s="9"/>
      <c r="K5528" s="9"/>
      <c r="L5528" s="9"/>
      <c r="M5528" s="9"/>
    </row>
    <row r="5529">
      <c r="J5529" s="9"/>
      <c r="K5529" s="9"/>
      <c r="L5529" s="9"/>
      <c r="M5529" s="9"/>
    </row>
    <row r="5530">
      <c r="J5530" s="9"/>
      <c r="K5530" s="9"/>
      <c r="L5530" s="9"/>
      <c r="M5530" s="9"/>
    </row>
    <row r="5531">
      <c r="J5531" s="9"/>
      <c r="K5531" s="9"/>
      <c r="L5531" s="9"/>
      <c r="M5531" s="9"/>
    </row>
    <row r="5532">
      <c r="J5532" s="9"/>
      <c r="K5532" s="9"/>
      <c r="L5532" s="9"/>
      <c r="M5532" s="9"/>
    </row>
    <row r="5533">
      <c r="J5533" s="9"/>
      <c r="K5533" s="9"/>
      <c r="L5533" s="9"/>
      <c r="M5533" s="9"/>
    </row>
    <row r="5534">
      <c r="J5534" s="9"/>
      <c r="K5534" s="9"/>
      <c r="L5534" s="9"/>
      <c r="M5534" s="9"/>
    </row>
    <row r="5535">
      <c r="J5535" s="9"/>
      <c r="K5535" s="9"/>
      <c r="L5535" s="9"/>
      <c r="M5535" s="9"/>
    </row>
    <row r="5536">
      <c r="J5536" s="9"/>
      <c r="K5536" s="9"/>
      <c r="L5536" s="9"/>
      <c r="M5536" s="9"/>
    </row>
    <row r="5537">
      <c r="J5537" s="9"/>
      <c r="K5537" s="9"/>
      <c r="L5537" s="9"/>
      <c r="M5537" s="9"/>
    </row>
    <row r="5538">
      <c r="J5538" s="9"/>
      <c r="K5538" s="9"/>
      <c r="L5538" s="9"/>
      <c r="M5538" s="9"/>
    </row>
    <row r="5539">
      <c r="J5539" s="9"/>
      <c r="K5539" s="9"/>
      <c r="L5539" s="9"/>
      <c r="M5539" s="9"/>
    </row>
    <row r="5540">
      <c r="J5540" s="9"/>
      <c r="K5540" s="9"/>
      <c r="L5540" s="9"/>
      <c r="M5540" s="9"/>
    </row>
    <row r="5541">
      <c r="J5541" s="9"/>
      <c r="K5541" s="9"/>
      <c r="L5541" s="9"/>
      <c r="M5541" s="9"/>
    </row>
    <row r="5542">
      <c r="J5542" s="9"/>
      <c r="K5542" s="9"/>
      <c r="L5542" s="9"/>
      <c r="M5542" s="9"/>
    </row>
    <row r="5543">
      <c r="J5543" s="9"/>
      <c r="K5543" s="9"/>
      <c r="L5543" s="9"/>
      <c r="M5543" s="9"/>
    </row>
    <row r="5544">
      <c r="J5544" s="9"/>
      <c r="K5544" s="9"/>
      <c r="L5544" s="9"/>
      <c r="M5544" s="9"/>
    </row>
    <row r="5545">
      <c r="J5545" s="9"/>
      <c r="K5545" s="9"/>
      <c r="L5545" s="9"/>
      <c r="M5545" s="9"/>
    </row>
    <row r="5546">
      <c r="J5546" s="9"/>
      <c r="K5546" s="9"/>
      <c r="L5546" s="9"/>
      <c r="M5546" s="9"/>
    </row>
    <row r="5547">
      <c r="J5547" s="9"/>
      <c r="K5547" s="9"/>
      <c r="L5547" s="9"/>
      <c r="M5547" s="9"/>
    </row>
    <row r="5548">
      <c r="J5548" s="9"/>
      <c r="K5548" s="9"/>
      <c r="L5548" s="9"/>
      <c r="M5548" s="9"/>
    </row>
    <row r="5549">
      <c r="J5549" s="9"/>
      <c r="K5549" s="9"/>
      <c r="L5549" s="9"/>
      <c r="M5549" s="9"/>
    </row>
    <row r="5550">
      <c r="J5550" s="9"/>
      <c r="K5550" s="9"/>
      <c r="L5550" s="9"/>
      <c r="M5550" s="9"/>
    </row>
    <row r="5551">
      <c r="J5551" s="9"/>
      <c r="K5551" s="9"/>
      <c r="L5551" s="9"/>
      <c r="M5551" s="9"/>
    </row>
    <row r="5552">
      <c r="J5552" s="9"/>
      <c r="K5552" s="9"/>
      <c r="L5552" s="9"/>
      <c r="M5552" s="9"/>
    </row>
    <row r="5553">
      <c r="J5553" s="9"/>
      <c r="K5553" s="9"/>
      <c r="L5553" s="9"/>
      <c r="M5553" s="9"/>
    </row>
    <row r="5554">
      <c r="J5554" s="9"/>
      <c r="K5554" s="9"/>
      <c r="L5554" s="9"/>
      <c r="M5554" s="9"/>
    </row>
    <row r="5555">
      <c r="J5555" s="9"/>
      <c r="K5555" s="9"/>
      <c r="L5555" s="9"/>
      <c r="M5555" s="9"/>
    </row>
    <row r="5556">
      <c r="J5556" s="9"/>
      <c r="K5556" s="9"/>
      <c r="L5556" s="9"/>
      <c r="M5556" s="9"/>
    </row>
    <row r="5557">
      <c r="J5557" s="9"/>
      <c r="K5557" s="9"/>
      <c r="L5557" s="9"/>
      <c r="M5557" s="9"/>
    </row>
    <row r="5558">
      <c r="J5558" s="9"/>
      <c r="K5558" s="9"/>
      <c r="L5558" s="9"/>
      <c r="M5558" s="9"/>
    </row>
    <row r="5559">
      <c r="J5559" s="9"/>
      <c r="K5559" s="9"/>
      <c r="L5559" s="9"/>
      <c r="M5559" s="9"/>
    </row>
    <row r="5560">
      <c r="J5560" s="9"/>
      <c r="K5560" s="9"/>
      <c r="L5560" s="9"/>
      <c r="M5560" s="9"/>
    </row>
    <row r="5561">
      <c r="J5561" s="9"/>
      <c r="K5561" s="9"/>
      <c r="L5561" s="9"/>
      <c r="M5561" s="9"/>
    </row>
    <row r="5562">
      <c r="J5562" s="9"/>
      <c r="K5562" s="9"/>
      <c r="L5562" s="9"/>
      <c r="M5562" s="9"/>
    </row>
    <row r="5563">
      <c r="J5563" s="9"/>
      <c r="K5563" s="9"/>
      <c r="L5563" s="9"/>
      <c r="M5563" s="9"/>
    </row>
    <row r="5564">
      <c r="J5564" s="9"/>
      <c r="K5564" s="9"/>
      <c r="L5564" s="9"/>
      <c r="M5564" s="9"/>
    </row>
    <row r="5565">
      <c r="J5565" s="9"/>
      <c r="K5565" s="9"/>
      <c r="L5565" s="9"/>
      <c r="M5565" s="9"/>
    </row>
    <row r="5566">
      <c r="J5566" s="9"/>
      <c r="K5566" s="9"/>
      <c r="L5566" s="9"/>
      <c r="M5566" s="9"/>
    </row>
    <row r="5567">
      <c r="J5567" s="9"/>
      <c r="K5567" s="9"/>
      <c r="L5567" s="9"/>
      <c r="M5567" s="9"/>
    </row>
    <row r="5568">
      <c r="J5568" s="9"/>
      <c r="K5568" s="9"/>
      <c r="L5568" s="9"/>
      <c r="M5568" s="9"/>
    </row>
    <row r="5569">
      <c r="J5569" s="9"/>
      <c r="K5569" s="9"/>
      <c r="L5569" s="9"/>
      <c r="M5569" s="9"/>
    </row>
    <row r="5570">
      <c r="J5570" s="9"/>
      <c r="K5570" s="9"/>
      <c r="L5570" s="9"/>
      <c r="M5570" s="9"/>
    </row>
    <row r="5571">
      <c r="J5571" s="9"/>
      <c r="K5571" s="9"/>
      <c r="L5571" s="9"/>
      <c r="M5571" s="9"/>
    </row>
    <row r="5572">
      <c r="J5572" s="9"/>
      <c r="K5572" s="9"/>
      <c r="L5572" s="9"/>
      <c r="M5572" s="9"/>
    </row>
    <row r="5573">
      <c r="J5573" s="9"/>
      <c r="K5573" s="9"/>
      <c r="L5573" s="9"/>
      <c r="M5573" s="9"/>
    </row>
    <row r="5574">
      <c r="J5574" s="9"/>
      <c r="K5574" s="9"/>
      <c r="L5574" s="9"/>
      <c r="M5574" s="9"/>
    </row>
    <row r="5575">
      <c r="J5575" s="9"/>
      <c r="K5575" s="9"/>
      <c r="L5575" s="9"/>
      <c r="M5575" s="9"/>
    </row>
    <row r="5576">
      <c r="J5576" s="9"/>
      <c r="K5576" s="9"/>
      <c r="L5576" s="9"/>
      <c r="M5576" s="9"/>
    </row>
    <row r="5577">
      <c r="J5577" s="9"/>
      <c r="K5577" s="9"/>
      <c r="L5577" s="9"/>
      <c r="M5577" s="9"/>
    </row>
    <row r="5578">
      <c r="J5578" s="9"/>
      <c r="K5578" s="9"/>
      <c r="L5578" s="9"/>
      <c r="M5578" s="9"/>
    </row>
    <row r="5579">
      <c r="J5579" s="9"/>
      <c r="K5579" s="9"/>
      <c r="L5579" s="9"/>
      <c r="M5579" s="9"/>
    </row>
    <row r="5580">
      <c r="J5580" s="9"/>
      <c r="K5580" s="9"/>
      <c r="L5580" s="9"/>
      <c r="M5580" s="9"/>
    </row>
    <row r="5581">
      <c r="J5581" s="9"/>
      <c r="K5581" s="9"/>
      <c r="L5581" s="9"/>
      <c r="M5581" s="9"/>
    </row>
    <row r="5582">
      <c r="J5582" s="9"/>
      <c r="K5582" s="9"/>
      <c r="L5582" s="9"/>
      <c r="M5582" s="9"/>
    </row>
    <row r="5583">
      <c r="J5583" s="9"/>
      <c r="K5583" s="9"/>
      <c r="L5583" s="9"/>
      <c r="M5583" s="9"/>
    </row>
    <row r="5584">
      <c r="J5584" s="9"/>
      <c r="K5584" s="9"/>
      <c r="L5584" s="9"/>
      <c r="M5584" s="9"/>
    </row>
    <row r="5585">
      <c r="J5585" s="9"/>
      <c r="K5585" s="9"/>
      <c r="L5585" s="9"/>
      <c r="M5585" s="9"/>
    </row>
    <row r="5586">
      <c r="J5586" s="9"/>
      <c r="K5586" s="9"/>
      <c r="L5586" s="9"/>
      <c r="M5586" s="9"/>
    </row>
    <row r="5587">
      <c r="J5587" s="9"/>
      <c r="K5587" s="9"/>
      <c r="L5587" s="9"/>
      <c r="M5587" s="9"/>
    </row>
    <row r="5588">
      <c r="J5588" s="9"/>
      <c r="K5588" s="9"/>
      <c r="L5588" s="9"/>
      <c r="M5588" s="9"/>
    </row>
    <row r="5589">
      <c r="J5589" s="9"/>
      <c r="K5589" s="9"/>
      <c r="L5589" s="9"/>
      <c r="M5589" s="9"/>
    </row>
    <row r="5590">
      <c r="J5590" s="9"/>
      <c r="K5590" s="9"/>
      <c r="L5590" s="9"/>
      <c r="M5590" s="9"/>
    </row>
    <row r="5591">
      <c r="J5591" s="9"/>
      <c r="K5591" s="9"/>
      <c r="L5591" s="9"/>
      <c r="M5591" s="9"/>
    </row>
    <row r="5592">
      <c r="J5592" s="9"/>
      <c r="K5592" s="9"/>
      <c r="L5592" s="9"/>
      <c r="M5592" s="9"/>
    </row>
    <row r="5593">
      <c r="J5593" s="9"/>
      <c r="K5593" s="9"/>
      <c r="L5593" s="9"/>
      <c r="M5593" s="9"/>
    </row>
    <row r="5594">
      <c r="J5594" s="9"/>
      <c r="K5594" s="9"/>
      <c r="L5594" s="9"/>
      <c r="M5594" s="9"/>
    </row>
    <row r="5595">
      <c r="J5595" s="9"/>
      <c r="K5595" s="9"/>
      <c r="L5595" s="9"/>
      <c r="M5595" s="9"/>
    </row>
    <row r="5596">
      <c r="J5596" s="9"/>
      <c r="K5596" s="9"/>
      <c r="L5596" s="9"/>
      <c r="M5596" s="9"/>
    </row>
    <row r="5597">
      <c r="J5597" s="9"/>
      <c r="K5597" s="9"/>
      <c r="L5597" s="9"/>
      <c r="M5597" s="9"/>
    </row>
    <row r="5598">
      <c r="J5598" s="9"/>
      <c r="K5598" s="9"/>
      <c r="L5598" s="9"/>
      <c r="M5598" s="9"/>
    </row>
    <row r="5599">
      <c r="J5599" s="9"/>
      <c r="K5599" s="9"/>
      <c r="L5599" s="9"/>
      <c r="M5599" s="9"/>
    </row>
    <row r="5600">
      <c r="J5600" s="9"/>
      <c r="K5600" s="9"/>
      <c r="L5600" s="9"/>
      <c r="M5600" s="9"/>
    </row>
    <row r="5601">
      <c r="J5601" s="9"/>
      <c r="K5601" s="9"/>
      <c r="L5601" s="9"/>
      <c r="M5601" s="9"/>
    </row>
    <row r="5602">
      <c r="J5602" s="9"/>
      <c r="K5602" s="9"/>
      <c r="L5602" s="9"/>
      <c r="M5602" s="9"/>
    </row>
    <row r="5603">
      <c r="J5603" s="9"/>
      <c r="K5603" s="9"/>
      <c r="L5603" s="9"/>
      <c r="M5603" s="9"/>
    </row>
    <row r="5604">
      <c r="J5604" s="9"/>
      <c r="K5604" s="9"/>
      <c r="L5604" s="9"/>
      <c r="M5604" s="9"/>
    </row>
    <row r="5605">
      <c r="J5605" s="9"/>
      <c r="K5605" s="9"/>
      <c r="L5605" s="9"/>
      <c r="M5605" s="9"/>
    </row>
    <row r="5606">
      <c r="J5606" s="9"/>
      <c r="K5606" s="9"/>
      <c r="L5606" s="9"/>
      <c r="M5606" s="9"/>
    </row>
    <row r="5607">
      <c r="J5607" s="9"/>
      <c r="K5607" s="9"/>
      <c r="L5607" s="9"/>
      <c r="M5607" s="9"/>
    </row>
    <row r="5608">
      <c r="J5608" s="9"/>
      <c r="K5608" s="9"/>
      <c r="L5608" s="9"/>
      <c r="M5608" s="9"/>
    </row>
    <row r="5609">
      <c r="J5609" s="9"/>
      <c r="K5609" s="9"/>
      <c r="L5609" s="9"/>
      <c r="M5609" s="9"/>
    </row>
    <row r="5610">
      <c r="J5610" s="9"/>
      <c r="K5610" s="9"/>
      <c r="L5610" s="9"/>
      <c r="M5610" s="9"/>
    </row>
    <row r="5611">
      <c r="J5611" s="9"/>
      <c r="K5611" s="9"/>
      <c r="L5611" s="9"/>
      <c r="M5611" s="9"/>
    </row>
    <row r="5612">
      <c r="J5612" s="9"/>
      <c r="K5612" s="9"/>
      <c r="L5612" s="9"/>
      <c r="M5612" s="9"/>
    </row>
    <row r="5613">
      <c r="J5613" s="9"/>
      <c r="K5613" s="9"/>
      <c r="L5613" s="9"/>
      <c r="M5613" s="9"/>
    </row>
    <row r="5614">
      <c r="J5614" s="9"/>
      <c r="K5614" s="9"/>
      <c r="L5614" s="9"/>
      <c r="M5614" s="9"/>
    </row>
    <row r="5615">
      <c r="J5615" s="9"/>
      <c r="K5615" s="9"/>
      <c r="L5615" s="9"/>
      <c r="M5615" s="9"/>
    </row>
    <row r="5616">
      <c r="J5616" s="9"/>
      <c r="K5616" s="9"/>
      <c r="L5616" s="9"/>
      <c r="M5616" s="9"/>
    </row>
    <row r="5617">
      <c r="J5617" s="9"/>
      <c r="K5617" s="9"/>
      <c r="L5617" s="9"/>
      <c r="M5617" s="9"/>
    </row>
    <row r="5618">
      <c r="J5618" s="9"/>
      <c r="K5618" s="9"/>
      <c r="L5618" s="9"/>
      <c r="M5618" s="9"/>
    </row>
    <row r="5619">
      <c r="J5619" s="9"/>
      <c r="K5619" s="9"/>
      <c r="L5619" s="9"/>
      <c r="M5619" s="9"/>
    </row>
    <row r="5620">
      <c r="J5620" s="9"/>
      <c r="K5620" s="9"/>
      <c r="L5620" s="9"/>
      <c r="M5620" s="9"/>
    </row>
    <row r="5621">
      <c r="J5621" s="9"/>
      <c r="K5621" s="9"/>
      <c r="L5621" s="9"/>
      <c r="M5621" s="9"/>
    </row>
    <row r="5622">
      <c r="J5622" s="9"/>
      <c r="K5622" s="9"/>
      <c r="L5622" s="9"/>
      <c r="M5622" s="9"/>
    </row>
    <row r="5623">
      <c r="J5623" s="9"/>
      <c r="K5623" s="9"/>
      <c r="L5623" s="9"/>
      <c r="M5623" s="9"/>
    </row>
    <row r="5624">
      <c r="J5624" s="9"/>
      <c r="K5624" s="9"/>
      <c r="L5624" s="9"/>
      <c r="M5624" s="9"/>
    </row>
    <row r="5625">
      <c r="J5625" s="9"/>
      <c r="K5625" s="9"/>
      <c r="L5625" s="9"/>
      <c r="M5625" s="9"/>
    </row>
    <row r="5626">
      <c r="J5626" s="9"/>
      <c r="K5626" s="9"/>
      <c r="L5626" s="9"/>
      <c r="M5626" s="9"/>
    </row>
    <row r="5627">
      <c r="J5627" s="9"/>
      <c r="K5627" s="9"/>
      <c r="L5627" s="9"/>
      <c r="M5627" s="9"/>
    </row>
    <row r="5628">
      <c r="J5628" s="9"/>
      <c r="K5628" s="9"/>
      <c r="L5628" s="9"/>
      <c r="M5628" s="9"/>
    </row>
    <row r="5629">
      <c r="J5629" s="9"/>
      <c r="K5629" s="9"/>
      <c r="L5629" s="9"/>
      <c r="M5629" s="9"/>
    </row>
    <row r="5630">
      <c r="J5630" s="9"/>
      <c r="K5630" s="9"/>
      <c r="L5630" s="9"/>
      <c r="M5630" s="9"/>
    </row>
    <row r="5631">
      <c r="J5631" s="9"/>
      <c r="K5631" s="9"/>
      <c r="L5631" s="9"/>
      <c r="M5631" s="9"/>
    </row>
    <row r="5632">
      <c r="J5632" s="9"/>
      <c r="K5632" s="9"/>
      <c r="L5632" s="9"/>
      <c r="M5632" s="9"/>
    </row>
    <row r="5633">
      <c r="J5633" s="9"/>
      <c r="K5633" s="9"/>
      <c r="L5633" s="9"/>
      <c r="M5633" s="9"/>
    </row>
    <row r="5634">
      <c r="J5634" s="9"/>
      <c r="K5634" s="9"/>
      <c r="L5634" s="9"/>
      <c r="M5634" s="9"/>
    </row>
    <row r="5635">
      <c r="J5635" s="9"/>
      <c r="K5635" s="9"/>
      <c r="L5635" s="9"/>
      <c r="M5635" s="9"/>
    </row>
    <row r="5636">
      <c r="J5636" s="9"/>
      <c r="K5636" s="9"/>
      <c r="L5636" s="9"/>
      <c r="M5636" s="9"/>
    </row>
    <row r="5637">
      <c r="J5637" s="9"/>
      <c r="K5637" s="9"/>
      <c r="L5637" s="9"/>
      <c r="M5637" s="9"/>
    </row>
    <row r="5638">
      <c r="J5638" s="9"/>
      <c r="K5638" s="9"/>
      <c r="L5638" s="9"/>
      <c r="M5638" s="9"/>
    </row>
    <row r="5639">
      <c r="J5639" s="9"/>
      <c r="K5639" s="9"/>
      <c r="L5639" s="9"/>
      <c r="M5639" s="9"/>
    </row>
    <row r="5640">
      <c r="J5640" s="9"/>
      <c r="K5640" s="9"/>
      <c r="L5640" s="9"/>
      <c r="M5640" s="9"/>
    </row>
    <row r="5641">
      <c r="J5641" s="9"/>
      <c r="K5641" s="9"/>
      <c r="L5641" s="9"/>
      <c r="M5641" s="9"/>
    </row>
    <row r="5642">
      <c r="J5642" s="9"/>
      <c r="K5642" s="9"/>
      <c r="L5642" s="9"/>
      <c r="M5642" s="9"/>
    </row>
    <row r="5643">
      <c r="J5643" s="9"/>
      <c r="K5643" s="9"/>
      <c r="L5643" s="9"/>
      <c r="M5643" s="9"/>
    </row>
    <row r="5644">
      <c r="J5644" s="9"/>
      <c r="K5644" s="9"/>
      <c r="L5644" s="9"/>
      <c r="M5644" s="9"/>
    </row>
    <row r="5645">
      <c r="J5645" s="9"/>
      <c r="K5645" s="9"/>
      <c r="L5645" s="9"/>
      <c r="M5645" s="9"/>
    </row>
    <row r="5646">
      <c r="J5646" s="9"/>
      <c r="K5646" s="9"/>
      <c r="L5646" s="9"/>
      <c r="M5646" s="9"/>
    </row>
    <row r="5647">
      <c r="J5647" s="9"/>
      <c r="K5647" s="9"/>
      <c r="L5647" s="9"/>
      <c r="M5647" s="9"/>
    </row>
    <row r="5648">
      <c r="J5648" s="9"/>
      <c r="K5648" s="9"/>
      <c r="L5648" s="9"/>
      <c r="M5648" s="9"/>
    </row>
    <row r="5649">
      <c r="J5649" s="9"/>
      <c r="K5649" s="9"/>
      <c r="L5649" s="9"/>
      <c r="M5649" s="9"/>
    </row>
    <row r="5650">
      <c r="J5650" s="9"/>
      <c r="K5650" s="9"/>
      <c r="L5650" s="9"/>
      <c r="M5650" s="9"/>
    </row>
    <row r="5651">
      <c r="J5651" s="9"/>
      <c r="K5651" s="9"/>
      <c r="L5651" s="9"/>
      <c r="M5651" s="9"/>
    </row>
    <row r="5652">
      <c r="J5652" s="9"/>
      <c r="K5652" s="9"/>
      <c r="L5652" s="9"/>
      <c r="M5652" s="9"/>
    </row>
    <row r="5653">
      <c r="J5653" s="9"/>
      <c r="K5653" s="9"/>
      <c r="L5653" s="9"/>
      <c r="M5653" s="9"/>
    </row>
    <row r="5654">
      <c r="J5654" s="9"/>
      <c r="K5654" s="9"/>
      <c r="L5654" s="9"/>
      <c r="M5654" s="9"/>
    </row>
    <row r="5655">
      <c r="J5655" s="9"/>
      <c r="K5655" s="9"/>
      <c r="L5655" s="9"/>
      <c r="M5655" s="9"/>
    </row>
    <row r="5656">
      <c r="J5656" s="9"/>
      <c r="K5656" s="9"/>
      <c r="L5656" s="9"/>
      <c r="M5656" s="9"/>
    </row>
    <row r="5657">
      <c r="J5657" s="9"/>
      <c r="K5657" s="9"/>
      <c r="L5657" s="9"/>
      <c r="M5657" s="9"/>
    </row>
    <row r="5658">
      <c r="J5658" s="9"/>
      <c r="K5658" s="9"/>
      <c r="L5658" s="9"/>
      <c r="M5658" s="9"/>
    </row>
    <row r="5659">
      <c r="J5659" s="9"/>
      <c r="K5659" s="9"/>
      <c r="L5659" s="9"/>
      <c r="M5659" s="9"/>
    </row>
    <row r="5660">
      <c r="J5660" s="9"/>
      <c r="K5660" s="9"/>
      <c r="L5660" s="9"/>
      <c r="M5660" s="9"/>
    </row>
    <row r="5661">
      <c r="J5661" s="9"/>
      <c r="K5661" s="9"/>
      <c r="L5661" s="9"/>
      <c r="M5661" s="9"/>
    </row>
    <row r="5662">
      <c r="J5662" s="9"/>
      <c r="K5662" s="9"/>
      <c r="L5662" s="9"/>
      <c r="M5662" s="9"/>
    </row>
    <row r="5663">
      <c r="J5663" s="9"/>
      <c r="K5663" s="9"/>
      <c r="L5663" s="9"/>
      <c r="M5663" s="9"/>
    </row>
    <row r="5664">
      <c r="J5664" s="9"/>
      <c r="K5664" s="9"/>
      <c r="L5664" s="9"/>
      <c r="M5664" s="9"/>
    </row>
    <row r="5665">
      <c r="J5665" s="9"/>
      <c r="K5665" s="9"/>
      <c r="L5665" s="9"/>
      <c r="M5665" s="9"/>
    </row>
    <row r="5666">
      <c r="J5666" s="9"/>
      <c r="K5666" s="9"/>
      <c r="L5666" s="9"/>
      <c r="M5666" s="9"/>
    </row>
    <row r="5667">
      <c r="J5667" s="9"/>
      <c r="K5667" s="9"/>
      <c r="L5667" s="9"/>
      <c r="M5667" s="9"/>
    </row>
    <row r="5668">
      <c r="J5668" s="9"/>
      <c r="K5668" s="9"/>
      <c r="L5668" s="9"/>
      <c r="M5668" s="9"/>
    </row>
    <row r="5669">
      <c r="J5669" s="9"/>
      <c r="K5669" s="9"/>
      <c r="L5669" s="9"/>
      <c r="M5669" s="9"/>
    </row>
    <row r="5670">
      <c r="J5670" s="9"/>
      <c r="K5670" s="9"/>
      <c r="L5670" s="9"/>
      <c r="M5670" s="9"/>
    </row>
    <row r="5671">
      <c r="J5671" s="9"/>
      <c r="K5671" s="9"/>
      <c r="L5671" s="9"/>
      <c r="M5671" s="9"/>
    </row>
    <row r="5672">
      <c r="J5672" s="9"/>
      <c r="K5672" s="9"/>
      <c r="L5672" s="9"/>
      <c r="M5672" s="9"/>
    </row>
    <row r="5673">
      <c r="J5673" s="9"/>
      <c r="K5673" s="9"/>
      <c r="L5673" s="9"/>
      <c r="M5673" s="9"/>
    </row>
    <row r="5674">
      <c r="J5674" s="9"/>
      <c r="K5674" s="9"/>
      <c r="L5674" s="9"/>
      <c r="M5674" s="9"/>
    </row>
    <row r="5675">
      <c r="J5675" s="9"/>
      <c r="K5675" s="9"/>
      <c r="L5675" s="9"/>
      <c r="M5675" s="9"/>
    </row>
    <row r="5676">
      <c r="J5676" s="9"/>
      <c r="K5676" s="9"/>
      <c r="L5676" s="9"/>
      <c r="M5676" s="9"/>
    </row>
    <row r="5677">
      <c r="J5677" s="9"/>
      <c r="K5677" s="9"/>
      <c r="L5677" s="9"/>
      <c r="M5677" s="9"/>
    </row>
    <row r="5678">
      <c r="J5678" s="9"/>
      <c r="K5678" s="9"/>
      <c r="L5678" s="9"/>
      <c r="M5678" s="9"/>
    </row>
    <row r="5679">
      <c r="J5679" s="9"/>
      <c r="K5679" s="9"/>
      <c r="L5679" s="9"/>
      <c r="M5679" s="9"/>
    </row>
    <row r="5680">
      <c r="J5680" s="9"/>
      <c r="K5680" s="9"/>
      <c r="L5680" s="9"/>
      <c r="M5680" s="9"/>
    </row>
    <row r="5681">
      <c r="J5681" s="9"/>
      <c r="K5681" s="9"/>
      <c r="L5681" s="9"/>
      <c r="M5681" s="9"/>
    </row>
    <row r="5682">
      <c r="J5682" s="9"/>
      <c r="K5682" s="9"/>
      <c r="L5682" s="9"/>
      <c r="M5682" s="9"/>
    </row>
    <row r="5683">
      <c r="J5683" s="9"/>
      <c r="K5683" s="9"/>
      <c r="L5683" s="9"/>
      <c r="M5683" s="9"/>
    </row>
    <row r="5684">
      <c r="J5684" s="9"/>
      <c r="K5684" s="9"/>
      <c r="L5684" s="9"/>
      <c r="M5684" s="9"/>
    </row>
    <row r="5685">
      <c r="J5685" s="9"/>
      <c r="K5685" s="9"/>
      <c r="L5685" s="9"/>
      <c r="M5685" s="9"/>
    </row>
    <row r="5686">
      <c r="J5686" s="9"/>
      <c r="K5686" s="9"/>
      <c r="L5686" s="9"/>
      <c r="M5686" s="9"/>
    </row>
    <row r="5687">
      <c r="J5687" s="9"/>
      <c r="K5687" s="9"/>
      <c r="L5687" s="9"/>
      <c r="M5687" s="9"/>
    </row>
    <row r="5688">
      <c r="J5688" s="9"/>
      <c r="K5688" s="9"/>
      <c r="L5688" s="9"/>
      <c r="M5688" s="9"/>
    </row>
    <row r="5689">
      <c r="J5689" s="9"/>
      <c r="K5689" s="9"/>
      <c r="L5689" s="9"/>
      <c r="M5689" s="9"/>
    </row>
    <row r="5690">
      <c r="J5690" s="9"/>
      <c r="K5690" s="9"/>
      <c r="L5690" s="9"/>
      <c r="M5690" s="9"/>
    </row>
    <row r="5691">
      <c r="J5691" s="9"/>
      <c r="K5691" s="9"/>
      <c r="L5691" s="9"/>
      <c r="M5691" s="9"/>
    </row>
    <row r="5692">
      <c r="J5692" s="9"/>
      <c r="K5692" s="9"/>
      <c r="L5692" s="9"/>
      <c r="M5692" s="9"/>
    </row>
    <row r="5693">
      <c r="J5693" s="9"/>
      <c r="K5693" s="9"/>
      <c r="L5693" s="9"/>
      <c r="M5693" s="9"/>
    </row>
    <row r="5694">
      <c r="J5694" s="9"/>
      <c r="K5694" s="9"/>
      <c r="L5694" s="9"/>
      <c r="M5694" s="9"/>
    </row>
    <row r="5695">
      <c r="J5695" s="9"/>
      <c r="K5695" s="9"/>
      <c r="L5695" s="9"/>
      <c r="M5695" s="9"/>
    </row>
    <row r="5696">
      <c r="J5696" s="9"/>
      <c r="K5696" s="9"/>
      <c r="L5696" s="9"/>
      <c r="M5696" s="9"/>
    </row>
    <row r="5697">
      <c r="J5697" s="9"/>
      <c r="K5697" s="9"/>
      <c r="L5697" s="9"/>
      <c r="M5697" s="9"/>
    </row>
    <row r="5698">
      <c r="J5698" s="9"/>
      <c r="K5698" s="9"/>
      <c r="L5698" s="9"/>
      <c r="M5698" s="9"/>
    </row>
    <row r="5699">
      <c r="J5699" s="9"/>
      <c r="K5699" s="9"/>
      <c r="L5699" s="9"/>
      <c r="M5699" s="9"/>
    </row>
    <row r="5700">
      <c r="J5700" s="9"/>
      <c r="K5700" s="9"/>
      <c r="L5700" s="9"/>
      <c r="M5700" s="9"/>
    </row>
    <row r="5701">
      <c r="J5701" s="9"/>
      <c r="K5701" s="9"/>
      <c r="L5701" s="9"/>
      <c r="M5701" s="9"/>
    </row>
    <row r="5702">
      <c r="J5702" s="9"/>
      <c r="K5702" s="9"/>
      <c r="L5702" s="9"/>
      <c r="M5702" s="9"/>
    </row>
    <row r="5703">
      <c r="J5703" s="9"/>
      <c r="K5703" s="9"/>
      <c r="L5703" s="9"/>
      <c r="M5703" s="9"/>
    </row>
    <row r="5704">
      <c r="J5704" s="9"/>
      <c r="K5704" s="9"/>
      <c r="L5704" s="9"/>
      <c r="M5704" s="9"/>
    </row>
    <row r="5705">
      <c r="J5705" s="9"/>
      <c r="K5705" s="9"/>
      <c r="L5705" s="9"/>
      <c r="M5705" s="9"/>
    </row>
    <row r="5706">
      <c r="J5706" s="9"/>
      <c r="K5706" s="9"/>
      <c r="L5706" s="9"/>
      <c r="M5706" s="9"/>
    </row>
    <row r="5707">
      <c r="J5707" s="9"/>
      <c r="K5707" s="9"/>
      <c r="L5707" s="9"/>
      <c r="M5707" s="9"/>
    </row>
    <row r="5708">
      <c r="J5708" s="9"/>
      <c r="K5708" s="9"/>
      <c r="L5708" s="9"/>
      <c r="M5708" s="9"/>
    </row>
    <row r="5709">
      <c r="J5709" s="9"/>
      <c r="K5709" s="9"/>
      <c r="L5709" s="9"/>
      <c r="M5709" s="9"/>
    </row>
    <row r="5710">
      <c r="J5710" s="9"/>
      <c r="K5710" s="9"/>
      <c r="L5710" s="9"/>
      <c r="M5710" s="9"/>
    </row>
    <row r="5711">
      <c r="J5711" s="9"/>
      <c r="K5711" s="9"/>
      <c r="L5711" s="9"/>
      <c r="M5711" s="9"/>
    </row>
    <row r="5712">
      <c r="J5712" s="9"/>
      <c r="K5712" s="9"/>
      <c r="L5712" s="9"/>
      <c r="M5712" s="9"/>
    </row>
    <row r="5713">
      <c r="J5713" s="9"/>
      <c r="K5713" s="9"/>
      <c r="L5713" s="9"/>
      <c r="M5713" s="9"/>
    </row>
    <row r="5714">
      <c r="J5714" s="9"/>
      <c r="K5714" s="9"/>
      <c r="L5714" s="9"/>
      <c r="M5714" s="9"/>
    </row>
    <row r="5715">
      <c r="J5715" s="9"/>
      <c r="K5715" s="9"/>
      <c r="L5715" s="9"/>
      <c r="M5715" s="9"/>
    </row>
    <row r="5716">
      <c r="J5716" s="9"/>
      <c r="K5716" s="9"/>
      <c r="L5716" s="9"/>
      <c r="M5716" s="9"/>
    </row>
    <row r="5717">
      <c r="J5717" s="9"/>
      <c r="K5717" s="9"/>
      <c r="L5717" s="9"/>
      <c r="M5717" s="9"/>
    </row>
    <row r="5718">
      <c r="J5718" s="9"/>
      <c r="K5718" s="9"/>
      <c r="L5718" s="9"/>
      <c r="M5718" s="9"/>
    </row>
    <row r="5719">
      <c r="J5719" s="9"/>
      <c r="K5719" s="9"/>
      <c r="L5719" s="9"/>
      <c r="M5719" s="9"/>
    </row>
    <row r="5720">
      <c r="J5720" s="9"/>
      <c r="K5720" s="9"/>
      <c r="L5720" s="9"/>
      <c r="M5720" s="9"/>
    </row>
    <row r="5721">
      <c r="J5721" s="9"/>
      <c r="K5721" s="9"/>
      <c r="L5721" s="9"/>
      <c r="M5721" s="9"/>
    </row>
    <row r="5722">
      <c r="J5722" s="9"/>
      <c r="K5722" s="9"/>
      <c r="L5722" s="9"/>
      <c r="M5722" s="9"/>
    </row>
    <row r="5723">
      <c r="J5723" s="9"/>
      <c r="K5723" s="9"/>
      <c r="L5723" s="9"/>
      <c r="M5723" s="9"/>
    </row>
    <row r="5724">
      <c r="J5724" s="9"/>
      <c r="K5724" s="9"/>
      <c r="L5724" s="9"/>
      <c r="M5724" s="9"/>
    </row>
    <row r="5725">
      <c r="J5725" s="9"/>
      <c r="K5725" s="9"/>
      <c r="L5725" s="9"/>
      <c r="M5725" s="9"/>
    </row>
    <row r="5726">
      <c r="J5726" s="9"/>
      <c r="K5726" s="9"/>
      <c r="L5726" s="9"/>
      <c r="M5726" s="9"/>
    </row>
    <row r="5727">
      <c r="J5727" s="9"/>
      <c r="K5727" s="9"/>
      <c r="L5727" s="9"/>
      <c r="M5727" s="9"/>
    </row>
    <row r="5728">
      <c r="J5728" s="9"/>
      <c r="K5728" s="9"/>
      <c r="L5728" s="9"/>
      <c r="M5728" s="9"/>
    </row>
    <row r="5729">
      <c r="J5729" s="9"/>
      <c r="K5729" s="9"/>
      <c r="L5729" s="9"/>
      <c r="M5729" s="9"/>
    </row>
    <row r="5730">
      <c r="J5730" s="9"/>
      <c r="K5730" s="9"/>
      <c r="L5730" s="9"/>
      <c r="M5730" s="9"/>
    </row>
    <row r="5731">
      <c r="J5731" s="9"/>
      <c r="K5731" s="9"/>
      <c r="L5731" s="9"/>
      <c r="M5731" s="9"/>
    </row>
    <row r="5732">
      <c r="J5732" s="9"/>
      <c r="K5732" s="9"/>
      <c r="L5732" s="9"/>
      <c r="M5732" s="9"/>
    </row>
    <row r="5733">
      <c r="J5733" s="9"/>
      <c r="K5733" s="9"/>
      <c r="L5733" s="9"/>
      <c r="M5733" s="9"/>
    </row>
    <row r="5734">
      <c r="J5734" s="9"/>
      <c r="K5734" s="9"/>
      <c r="L5734" s="9"/>
      <c r="M5734" s="9"/>
    </row>
    <row r="5735">
      <c r="J5735" s="9"/>
      <c r="K5735" s="9"/>
      <c r="L5735" s="9"/>
      <c r="M5735" s="9"/>
    </row>
    <row r="5736">
      <c r="J5736" s="9"/>
      <c r="K5736" s="9"/>
      <c r="L5736" s="9"/>
      <c r="M5736" s="9"/>
    </row>
    <row r="5737">
      <c r="J5737" s="9"/>
      <c r="K5737" s="9"/>
      <c r="L5737" s="9"/>
      <c r="M5737" s="9"/>
    </row>
    <row r="5738">
      <c r="J5738" s="9"/>
      <c r="K5738" s="9"/>
      <c r="L5738" s="9"/>
      <c r="M5738" s="9"/>
    </row>
    <row r="5739">
      <c r="J5739" s="9"/>
      <c r="K5739" s="9"/>
      <c r="L5739" s="9"/>
      <c r="M5739" s="9"/>
    </row>
    <row r="5740">
      <c r="J5740" s="9"/>
      <c r="K5740" s="9"/>
      <c r="L5740" s="9"/>
      <c r="M5740" s="9"/>
    </row>
    <row r="5741">
      <c r="J5741" s="9"/>
      <c r="K5741" s="9"/>
      <c r="L5741" s="9"/>
      <c r="M5741" s="9"/>
    </row>
    <row r="5742">
      <c r="J5742" s="9"/>
      <c r="K5742" s="9"/>
      <c r="L5742" s="9"/>
      <c r="M5742" s="9"/>
    </row>
    <row r="5743">
      <c r="J5743" s="9"/>
      <c r="K5743" s="9"/>
      <c r="L5743" s="9"/>
      <c r="M5743" s="9"/>
    </row>
    <row r="5744">
      <c r="J5744" s="9"/>
      <c r="K5744" s="9"/>
      <c r="L5744" s="9"/>
      <c r="M5744" s="9"/>
    </row>
    <row r="5745">
      <c r="J5745" s="9"/>
      <c r="K5745" s="9"/>
      <c r="L5745" s="9"/>
      <c r="M5745" s="9"/>
    </row>
    <row r="5746">
      <c r="J5746" s="9"/>
      <c r="K5746" s="9"/>
      <c r="L5746" s="9"/>
      <c r="M5746" s="9"/>
    </row>
    <row r="5747">
      <c r="J5747" s="9"/>
      <c r="K5747" s="9"/>
      <c r="L5747" s="9"/>
      <c r="M5747" s="9"/>
    </row>
    <row r="5748">
      <c r="J5748" s="9"/>
      <c r="K5748" s="9"/>
      <c r="L5748" s="9"/>
      <c r="M5748" s="9"/>
    </row>
    <row r="5749">
      <c r="J5749" s="9"/>
      <c r="K5749" s="9"/>
      <c r="L5749" s="9"/>
      <c r="M5749" s="9"/>
    </row>
    <row r="5750">
      <c r="J5750" s="9"/>
      <c r="K5750" s="9"/>
      <c r="L5750" s="9"/>
      <c r="M5750" s="9"/>
    </row>
    <row r="5751">
      <c r="J5751" s="9"/>
      <c r="K5751" s="9"/>
      <c r="L5751" s="9"/>
      <c r="M5751" s="9"/>
    </row>
    <row r="5752">
      <c r="J5752" s="9"/>
      <c r="K5752" s="9"/>
      <c r="L5752" s="9"/>
      <c r="M5752" s="9"/>
    </row>
    <row r="5753">
      <c r="J5753" s="9"/>
      <c r="K5753" s="9"/>
      <c r="L5753" s="9"/>
      <c r="M5753" s="9"/>
    </row>
    <row r="5754">
      <c r="J5754" s="9"/>
      <c r="K5754" s="9"/>
      <c r="L5754" s="9"/>
      <c r="M5754" s="9"/>
    </row>
    <row r="5755">
      <c r="J5755" s="9"/>
      <c r="K5755" s="9"/>
      <c r="L5755" s="9"/>
      <c r="M5755" s="9"/>
    </row>
    <row r="5756">
      <c r="J5756" s="9"/>
      <c r="K5756" s="9"/>
      <c r="L5756" s="9"/>
      <c r="M5756" s="9"/>
    </row>
    <row r="5757">
      <c r="J5757" s="9"/>
      <c r="K5757" s="9"/>
      <c r="L5757" s="9"/>
      <c r="M5757" s="9"/>
    </row>
    <row r="5758">
      <c r="J5758" s="9"/>
      <c r="K5758" s="9"/>
      <c r="L5758" s="9"/>
      <c r="M5758" s="9"/>
    </row>
    <row r="5759">
      <c r="J5759" s="9"/>
      <c r="K5759" s="9"/>
      <c r="L5759" s="9"/>
      <c r="M5759" s="9"/>
    </row>
    <row r="5760">
      <c r="J5760" s="9"/>
      <c r="K5760" s="9"/>
      <c r="L5760" s="9"/>
      <c r="M5760" s="9"/>
    </row>
    <row r="5761">
      <c r="J5761" s="9"/>
      <c r="K5761" s="9"/>
      <c r="L5761" s="9"/>
      <c r="M5761" s="9"/>
    </row>
    <row r="5762">
      <c r="J5762" s="9"/>
      <c r="K5762" s="9"/>
      <c r="L5762" s="9"/>
      <c r="M5762" s="9"/>
    </row>
    <row r="5763">
      <c r="J5763" s="9"/>
      <c r="K5763" s="9"/>
      <c r="L5763" s="9"/>
      <c r="M5763" s="9"/>
    </row>
    <row r="5764">
      <c r="J5764" s="9"/>
      <c r="K5764" s="9"/>
      <c r="L5764" s="9"/>
      <c r="M5764" s="9"/>
    </row>
    <row r="5765">
      <c r="J5765" s="9"/>
      <c r="K5765" s="9"/>
      <c r="L5765" s="9"/>
      <c r="M5765" s="9"/>
    </row>
    <row r="5766">
      <c r="J5766" s="9"/>
      <c r="K5766" s="9"/>
      <c r="L5766" s="9"/>
      <c r="M5766" s="9"/>
    </row>
    <row r="5767">
      <c r="J5767" s="9"/>
      <c r="K5767" s="9"/>
      <c r="L5767" s="9"/>
      <c r="M5767" s="9"/>
    </row>
    <row r="5768">
      <c r="J5768" s="9"/>
      <c r="K5768" s="9"/>
      <c r="L5768" s="9"/>
      <c r="M5768" s="9"/>
    </row>
    <row r="5769">
      <c r="J5769" s="9"/>
      <c r="K5769" s="9"/>
      <c r="L5769" s="9"/>
      <c r="M5769" s="9"/>
    </row>
    <row r="5770">
      <c r="J5770" s="9"/>
      <c r="K5770" s="9"/>
      <c r="L5770" s="9"/>
      <c r="M5770" s="9"/>
    </row>
    <row r="5771">
      <c r="J5771" s="9"/>
      <c r="K5771" s="9"/>
      <c r="L5771" s="9"/>
      <c r="M5771" s="9"/>
    </row>
    <row r="5772">
      <c r="J5772" s="9"/>
      <c r="K5772" s="9"/>
      <c r="L5772" s="9"/>
      <c r="M5772" s="9"/>
    </row>
    <row r="5773">
      <c r="J5773" s="9"/>
      <c r="K5773" s="9"/>
      <c r="L5773" s="9"/>
      <c r="M5773" s="9"/>
    </row>
    <row r="5774">
      <c r="J5774" s="9"/>
      <c r="K5774" s="9"/>
      <c r="L5774" s="9"/>
      <c r="M5774" s="9"/>
    </row>
    <row r="5775">
      <c r="J5775" s="9"/>
      <c r="K5775" s="9"/>
      <c r="L5775" s="9"/>
      <c r="M5775" s="9"/>
    </row>
    <row r="5776">
      <c r="J5776" s="9"/>
      <c r="K5776" s="9"/>
      <c r="L5776" s="9"/>
      <c r="M5776" s="9"/>
    </row>
    <row r="5777">
      <c r="J5777" s="9"/>
      <c r="K5777" s="9"/>
      <c r="L5777" s="9"/>
      <c r="M5777" s="9"/>
    </row>
    <row r="5778">
      <c r="J5778" s="9"/>
      <c r="K5778" s="9"/>
      <c r="L5778" s="9"/>
      <c r="M5778" s="9"/>
    </row>
    <row r="5779">
      <c r="J5779" s="9"/>
      <c r="K5779" s="9"/>
      <c r="L5779" s="9"/>
      <c r="M5779" s="9"/>
    </row>
    <row r="5780">
      <c r="J5780" s="9"/>
      <c r="K5780" s="9"/>
      <c r="L5780" s="9"/>
      <c r="M5780" s="9"/>
    </row>
    <row r="5781">
      <c r="J5781" s="9"/>
      <c r="K5781" s="9"/>
      <c r="L5781" s="9"/>
      <c r="M5781" s="9"/>
    </row>
    <row r="5782">
      <c r="J5782" s="9"/>
      <c r="K5782" s="9"/>
      <c r="L5782" s="9"/>
      <c r="M5782" s="9"/>
    </row>
    <row r="5783">
      <c r="J5783" s="9"/>
      <c r="K5783" s="9"/>
      <c r="L5783" s="9"/>
      <c r="M5783" s="9"/>
    </row>
    <row r="5784">
      <c r="J5784" s="9"/>
      <c r="K5784" s="9"/>
      <c r="L5784" s="9"/>
      <c r="M5784" s="9"/>
    </row>
    <row r="5785">
      <c r="J5785" s="9"/>
      <c r="K5785" s="9"/>
      <c r="L5785" s="9"/>
      <c r="M5785" s="9"/>
    </row>
    <row r="5786">
      <c r="J5786" s="9"/>
      <c r="K5786" s="9"/>
      <c r="L5786" s="9"/>
      <c r="M5786" s="9"/>
    </row>
    <row r="5787">
      <c r="J5787" s="9"/>
      <c r="K5787" s="9"/>
      <c r="L5787" s="9"/>
      <c r="M5787" s="9"/>
    </row>
    <row r="5788">
      <c r="J5788" s="9"/>
      <c r="K5788" s="9"/>
      <c r="L5788" s="9"/>
      <c r="M5788" s="9"/>
    </row>
    <row r="5789">
      <c r="J5789" s="9"/>
      <c r="K5789" s="9"/>
      <c r="L5789" s="9"/>
      <c r="M5789" s="9"/>
    </row>
    <row r="5790">
      <c r="J5790" s="9"/>
      <c r="K5790" s="9"/>
      <c r="L5790" s="9"/>
      <c r="M5790" s="9"/>
    </row>
    <row r="5791">
      <c r="J5791" s="9"/>
      <c r="K5791" s="9"/>
      <c r="L5791" s="9"/>
      <c r="M5791" s="9"/>
    </row>
    <row r="5792">
      <c r="J5792" s="9"/>
      <c r="K5792" s="9"/>
      <c r="L5792" s="9"/>
      <c r="M5792" s="9"/>
    </row>
    <row r="5793">
      <c r="J5793" s="9"/>
      <c r="K5793" s="9"/>
      <c r="L5793" s="9"/>
      <c r="M5793" s="9"/>
    </row>
    <row r="5794">
      <c r="J5794" s="9"/>
      <c r="K5794" s="9"/>
      <c r="L5794" s="9"/>
      <c r="M5794" s="9"/>
    </row>
    <row r="5795">
      <c r="J5795" s="9"/>
      <c r="K5795" s="9"/>
      <c r="L5795" s="9"/>
      <c r="M5795" s="9"/>
    </row>
    <row r="5796">
      <c r="J5796" s="9"/>
      <c r="K5796" s="9"/>
      <c r="L5796" s="9"/>
      <c r="M5796" s="9"/>
    </row>
    <row r="5797">
      <c r="J5797" s="9"/>
      <c r="K5797" s="9"/>
      <c r="L5797" s="9"/>
      <c r="M5797" s="9"/>
    </row>
    <row r="5798">
      <c r="J5798" s="9"/>
      <c r="K5798" s="9"/>
      <c r="L5798" s="9"/>
      <c r="M5798" s="9"/>
    </row>
    <row r="5799">
      <c r="J5799" s="9"/>
      <c r="K5799" s="9"/>
      <c r="L5799" s="9"/>
      <c r="M5799" s="9"/>
    </row>
    <row r="5800">
      <c r="J5800" s="9"/>
      <c r="K5800" s="9"/>
      <c r="L5800" s="9"/>
      <c r="M5800" s="9"/>
    </row>
    <row r="5801">
      <c r="J5801" s="9"/>
      <c r="K5801" s="9"/>
      <c r="L5801" s="9"/>
      <c r="M5801" s="9"/>
    </row>
    <row r="5802">
      <c r="J5802" s="9"/>
      <c r="K5802" s="9"/>
      <c r="L5802" s="9"/>
      <c r="M5802" s="9"/>
    </row>
    <row r="5803">
      <c r="J5803" s="9"/>
      <c r="K5803" s="9"/>
      <c r="L5803" s="9"/>
      <c r="M5803" s="9"/>
    </row>
    <row r="5804">
      <c r="J5804" s="9"/>
      <c r="K5804" s="9"/>
      <c r="L5804" s="9"/>
      <c r="M5804" s="9"/>
    </row>
    <row r="5805">
      <c r="J5805" s="9"/>
      <c r="K5805" s="9"/>
      <c r="L5805" s="9"/>
      <c r="M5805" s="9"/>
    </row>
    <row r="5806">
      <c r="J5806" s="9"/>
      <c r="K5806" s="9"/>
      <c r="L5806" s="9"/>
      <c r="M5806" s="9"/>
    </row>
    <row r="5807">
      <c r="J5807" s="9"/>
      <c r="K5807" s="9"/>
      <c r="L5807" s="9"/>
      <c r="M5807" s="9"/>
    </row>
    <row r="5808">
      <c r="J5808" s="9"/>
      <c r="K5808" s="9"/>
      <c r="L5808" s="9"/>
      <c r="M5808" s="9"/>
    </row>
    <row r="5809">
      <c r="J5809" s="9"/>
      <c r="K5809" s="9"/>
      <c r="L5809" s="9"/>
      <c r="M5809" s="9"/>
    </row>
    <row r="5810">
      <c r="J5810" s="9"/>
      <c r="K5810" s="9"/>
      <c r="L5810" s="9"/>
      <c r="M5810" s="9"/>
    </row>
    <row r="5811">
      <c r="J5811" s="9"/>
      <c r="K5811" s="9"/>
      <c r="L5811" s="9"/>
      <c r="M5811" s="9"/>
    </row>
    <row r="5812">
      <c r="J5812" s="9"/>
      <c r="K5812" s="9"/>
      <c r="L5812" s="9"/>
      <c r="M5812" s="9"/>
    </row>
    <row r="5813">
      <c r="J5813" s="9"/>
      <c r="K5813" s="9"/>
      <c r="L5813" s="9"/>
      <c r="M5813" s="9"/>
    </row>
    <row r="5814">
      <c r="J5814" s="9"/>
      <c r="K5814" s="9"/>
      <c r="L5814" s="9"/>
      <c r="M5814" s="9"/>
    </row>
    <row r="5815">
      <c r="J5815" s="9"/>
      <c r="K5815" s="9"/>
      <c r="L5815" s="9"/>
      <c r="M5815" s="9"/>
    </row>
    <row r="5816">
      <c r="J5816" s="9"/>
      <c r="K5816" s="9"/>
      <c r="L5816" s="9"/>
      <c r="M5816" s="9"/>
    </row>
    <row r="5817">
      <c r="J5817" s="9"/>
      <c r="K5817" s="9"/>
      <c r="L5817" s="9"/>
      <c r="M5817" s="9"/>
    </row>
    <row r="5818">
      <c r="J5818" s="9"/>
      <c r="K5818" s="9"/>
      <c r="L5818" s="9"/>
      <c r="M5818" s="9"/>
    </row>
    <row r="5819">
      <c r="J5819" s="9"/>
      <c r="K5819" s="9"/>
      <c r="L5819" s="9"/>
      <c r="M5819" s="9"/>
    </row>
    <row r="5820">
      <c r="J5820" s="9"/>
      <c r="K5820" s="9"/>
      <c r="L5820" s="9"/>
      <c r="M5820" s="9"/>
    </row>
    <row r="5821">
      <c r="J5821" s="9"/>
      <c r="K5821" s="9"/>
      <c r="L5821" s="9"/>
      <c r="M5821" s="9"/>
    </row>
    <row r="5822">
      <c r="J5822" s="9"/>
      <c r="K5822" s="9"/>
      <c r="L5822" s="9"/>
      <c r="M5822" s="9"/>
    </row>
    <row r="5823">
      <c r="J5823" s="9"/>
      <c r="K5823" s="9"/>
      <c r="L5823" s="9"/>
      <c r="M5823" s="9"/>
    </row>
    <row r="5824">
      <c r="J5824" s="9"/>
      <c r="K5824" s="9"/>
      <c r="L5824" s="9"/>
      <c r="M5824" s="9"/>
    </row>
    <row r="5825">
      <c r="J5825" s="9"/>
      <c r="K5825" s="9"/>
      <c r="L5825" s="9"/>
      <c r="M5825" s="9"/>
    </row>
    <row r="5826">
      <c r="J5826" s="9"/>
      <c r="K5826" s="9"/>
      <c r="L5826" s="9"/>
      <c r="M5826" s="9"/>
    </row>
    <row r="5827">
      <c r="J5827" s="9"/>
      <c r="K5827" s="9"/>
      <c r="L5827" s="9"/>
      <c r="M5827" s="9"/>
    </row>
    <row r="5828">
      <c r="J5828" s="9"/>
      <c r="K5828" s="9"/>
      <c r="L5828" s="9"/>
      <c r="M5828" s="9"/>
    </row>
    <row r="5829">
      <c r="J5829" s="9"/>
      <c r="K5829" s="9"/>
      <c r="L5829" s="9"/>
      <c r="M5829" s="9"/>
    </row>
    <row r="5830">
      <c r="J5830" s="9"/>
      <c r="K5830" s="9"/>
      <c r="L5830" s="9"/>
      <c r="M5830" s="9"/>
    </row>
    <row r="5831">
      <c r="J5831" s="9"/>
      <c r="K5831" s="9"/>
      <c r="L5831" s="9"/>
      <c r="M5831" s="9"/>
    </row>
    <row r="5832">
      <c r="J5832" s="9"/>
      <c r="K5832" s="9"/>
      <c r="L5832" s="9"/>
      <c r="M5832" s="9"/>
    </row>
    <row r="5833">
      <c r="J5833" s="9"/>
      <c r="K5833" s="9"/>
      <c r="L5833" s="9"/>
      <c r="M5833" s="9"/>
    </row>
    <row r="5834">
      <c r="J5834" s="9"/>
      <c r="K5834" s="9"/>
      <c r="L5834" s="9"/>
      <c r="M5834" s="9"/>
    </row>
    <row r="5835">
      <c r="J5835" s="9"/>
      <c r="K5835" s="9"/>
      <c r="L5835" s="9"/>
      <c r="M5835" s="9"/>
    </row>
    <row r="5836">
      <c r="J5836" s="9"/>
      <c r="K5836" s="9"/>
      <c r="L5836" s="9"/>
      <c r="M5836" s="9"/>
    </row>
    <row r="5837">
      <c r="J5837" s="9"/>
      <c r="K5837" s="9"/>
      <c r="L5837" s="9"/>
      <c r="M5837" s="9"/>
    </row>
    <row r="5838">
      <c r="J5838" s="9"/>
      <c r="K5838" s="9"/>
      <c r="L5838" s="9"/>
      <c r="M5838" s="9"/>
    </row>
    <row r="5839">
      <c r="J5839" s="9"/>
      <c r="K5839" s="9"/>
      <c r="L5839" s="9"/>
      <c r="M5839" s="9"/>
    </row>
    <row r="5840">
      <c r="J5840" s="9"/>
      <c r="K5840" s="9"/>
      <c r="L5840" s="9"/>
      <c r="M5840" s="9"/>
    </row>
    <row r="5841">
      <c r="J5841" s="9"/>
      <c r="K5841" s="9"/>
      <c r="L5841" s="9"/>
      <c r="M5841" s="9"/>
    </row>
    <row r="5842">
      <c r="J5842" s="9"/>
      <c r="K5842" s="9"/>
      <c r="L5842" s="9"/>
      <c r="M5842" s="9"/>
    </row>
    <row r="5843">
      <c r="J5843" s="9"/>
      <c r="K5843" s="9"/>
      <c r="L5843" s="9"/>
      <c r="M5843" s="9"/>
    </row>
    <row r="5844">
      <c r="J5844" s="9"/>
      <c r="K5844" s="9"/>
      <c r="L5844" s="9"/>
      <c r="M5844" s="9"/>
    </row>
    <row r="5845">
      <c r="J5845" s="9"/>
      <c r="K5845" s="9"/>
      <c r="L5845" s="9"/>
      <c r="M5845" s="9"/>
    </row>
    <row r="5846">
      <c r="J5846" s="9"/>
      <c r="K5846" s="9"/>
      <c r="L5846" s="9"/>
      <c r="M5846" s="9"/>
    </row>
    <row r="5847">
      <c r="J5847" s="9"/>
      <c r="K5847" s="9"/>
      <c r="L5847" s="9"/>
      <c r="M5847" s="9"/>
    </row>
    <row r="5848">
      <c r="J5848" s="9"/>
      <c r="K5848" s="9"/>
      <c r="L5848" s="9"/>
      <c r="M5848" s="9"/>
    </row>
    <row r="5849">
      <c r="J5849" s="9"/>
      <c r="K5849" s="9"/>
      <c r="L5849" s="9"/>
      <c r="M5849" s="9"/>
    </row>
    <row r="5850">
      <c r="J5850" s="9"/>
      <c r="K5850" s="9"/>
      <c r="L5850" s="9"/>
      <c r="M5850" s="9"/>
    </row>
    <row r="5851">
      <c r="J5851" s="9"/>
      <c r="K5851" s="9"/>
      <c r="L5851" s="9"/>
      <c r="M5851" s="9"/>
    </row>
    <row r="5852">
      <c r="J5852" s="9"/>
      <c r="K5852" s="9"/>
      <c r="L5852" s="9"/>
      <c r="M5852" s="9"/>
    </row>
    <row r="5853">
      <c r="J5853" s="9"/>
      <c r="K5853" s="9"/>
      <c r="L5853" s="9"/>
      <c r="M5853" s="9"/>
    </row>
    <row r="5854">
      <c r="J5854" s="9"/>
      <c r="K5854" s="9"/>
      <c r="L5854" s="9"/>
      <c r="M5854" s="9"/>
    </row>
    <row r="5855">
      <c r="J5855" s="9"/>
      <c r="K5855" s="9"/>
      <c r="L5855" s="9"/>
      <c r="M5855" s="9"/>
    </row>
    <row r="5856">
      <c r="J5856" s="9"/>
      <c r="K5856" s="9"/>
      <c r="L5856" s="9"/>
      <c r="M5856" s="9"/>
    </row>
    <row r="5857">
      <c r="J5857" s="9"/>
      <c r="K5857" s="9"/>
      <c r="L5857" s="9"/>
      <c r="M5857" s="9"/>
    </row>
    <row r="5858">
      <c r="J5858" s="9"/>
      <c r="K5858" s="9"/>
      <c r="L5858" s="9"/>
      <c r="M5858" s="9"/>
    </row>
    <row r="5859">
      <c r="J5859" s="9"/>
      <c r="K5859" s="9"/>
      <c r="L5859" s="9"/>
      <c r="M5859" s="9"/>
    </row>
    <row r="5860">
      <c r="J5860" s="9"/>
      <c r="K5860" s="9"/>
      <c r="L5860" s="9"/>
      <c r="M5860" s="9"/>
    </row>
    <row r="5861">
      <c r="J5861" s="9"/>
      <c r="K5861" s="9"/>
      <c r="L5861" s="9"/>
      <c r="M5861" s="9"/>
    </row>
    <row r="5862">
      <c r="J5862" s="9"/>
      <c r="K5862" s="9"/>
      <c r="L5862" s="9"/>
      <c r="M5862" s="9"/>
    </row>
    <row r="5863">
      <c r="J5863" s="9"/>
      <c r="K5863" s="9"/>
      <c r="L5863" s="9"/>
      <c r="M5863" s="9"/>
    </row>
    <row r="5864">
      <c r="J5864" s="9"/>
      <c r="K5864" s="9"/>
      <c r="L5864" s="9"/>
      <c r="M5864" s="9"/>
    </row>
    <row r="5865">
      <c r="J5865" s="9"/>
      <c r="K5865" s="9"/>
      <c r="L5865" s="9"/>
      <c r="M5865" s="9"/>
    </row>
    <row r="5866">
      <c r="J5866" s="9"/>
      <c r="K5866" s="9"/>
      <c r="L5866" s="9"/>
      <c r="M5866" s="9"/>
    </row>
    <row r="5867">
      <c r="J5867" s="9"/>
      <c r="K5867" s="9"/>
      <c r="L5867" s="9"/>
      <c r="M5867" s="9"/>
    </row>
    <row r="5868">
      <c r="J5868" s="9"/>
      <c r="K5868" s="9"/>
      <c r="L5868" s="9"/>
      <c r="M5868" s="9"/>
    </row>
    <row r="5869">
      <c r="J5869" s="9"/>
      <c r="K5869" s="9"/>
      <c r="L5869" s="9"/>
      <c r="M5869" s="9"/>
    </row>
    <row r="5870">
      <c r="J5870" s="9"/>
      <c r="K5870" s="9"/>
      <c r="L5870" s="9"/>
      <c r="M5870" s="9"/>
    </row>
    <row r="5871">
      <c r="J5871" s="9"/>
      <c r="K5871" s="9"/>
      <c r="L5871" s="9"/>
      <c r="M5871" s="9"/>
    </row>
    <row r="5872">
      <c r="J5872" s="9"/>
      <c r="K5872" s="9"/>
      <c r="L5872" s="9"/>
      <c r="M5872" s="9"/>
    </row>
    <row r="5873">
      <c r="J5873" s="9"/>
      <c r="K5873" s="9"/>
      <c r="L5873" s="9"/>
      <c r="M5873" s="9"/>
    </row>
    <row r="5874">
      <c r="J5874" s="9"/>
      <c r="K5874" s="9"/>
      <c r="L5874" s="9"/>
      <c r="M5874" s="9"/>
    </row>
    <row r="5875">
      <c r="J5875" s="9"/>
      <c r="K5875" s="9"/>
      <c r="L5875" s="9"/>
      <c r="M5875" s="9"/>
    </row>
    <row r="5876">
      <c r="J5876" s="9"/>
      <c r="K5876" s="9"/>
      <c r="L5876" s="9"/>
      <c r="M5876" s="9"/>
    </row>
    <row r="5877">
      <c r="J5877" s="9"/>
      <c r="K5877" s="9"/>
      <c r="L5877" s="9"/>
      <c r="M5877" s="9"/>
    </row>
    <row r="5878">
      <c r="J5878" s="9"/>
      <c r="K5878" s="9"/>
      <c r="L5878" s="9"/>
      <c r="M5878" s="9"/>
    </row>
    <row r="5879">
      <c r="J5879" s="9"/>
      <c r="K5879" s="9"/>
      <c r="L5879" s="9"/>
      <c r="M5879" s="9"/>
    </row>
    <row r="5880">
      <c r="J5880" s="9"/>
      <c r="K5880" s="9"/>
      <c r="L5880" s="9"/>
      <c r="M5880" s="9"/>
    </row>
    <row r="5881">
      <c r="J5881" s="9"/>
      <c r="K5881" s="9"/>
      <c r="L5881" s="9"/>
      <c r="M5881" s="9"/>
    </row>
    <row r="5882">
      <c r="J5882" s="9"/>
      <c r="K5882" s="9"/>
      <c r="L5882" s="9"/>
      <c r="M5882" s="9"/>
    </row>
    <row r="5883">
      <c r="J5883" s="9"/>
      <c r="K5883" s="9"/>
      <c r="L5883" s="9"/>
      <c r="M5883" s="9"/>
    </row>
    <row r="5884">
      <c r="J5884" s="9"/>
      <c r="K5884" s="9"/>
      <c r="L5884" s="9"/>
      <c r="M5884" s="9"/>
    </row>
    <row r="5885">
      <c r="J5885" s="9"/>
      <c r="K5885" s="9"/>
      <c r="L5885" s="9"/>
      <c r="M5885" s="9"/>
    </row>
    <row r="5886">
      <c r="J5886" s="9"/>
      <c r="K5886" s="9"/>
      <c r="L5886" s="9"/>
      <c r="M5886" s="9"/>
    </row>
    <row r="5887">
      <c r="J5887" s="9"/>
      <c r="K5887" s="9"/>
      <c r="L5887" s="9"/>
      <c r="M5887" s="9"/>
    </row>
    <row r="5888">
      <c r="J5888" s="9"/>
      <c r="K5888" s="9"/>
      <c r="L5888" s="9"/>
      <c r="M5888" s="9"/>
    </row>
    <row r="5889">
      <c r="J5889" s="9"/>
      <c r="K5889" s="9"/>
      <c r="L5889" s="9"/>
      <c r="M5889" s="9"/>
    </row>
    <row r="5890">
      <c r="J5890" s="9"/>
      <c r="K5890" s="9"/>
      <c r="L5890" s="9"/>
      <c r="M5890" s="9"/>
    </row>
    <row r="5891">
      <c r="J5891" s="9"/>
      <c r="K5891" s="9"/>
      <c r="L5891" s="9"/>
      <c r="M5891" s="9"/>
    </row>
    <row r="5892">
      <c r="J5892" s="9"/>
      <c r="K5892" s="9"/>
      <c r="L5892" s="9"/>
      <c r="M5892" s="9"/>
    </row>
    <row r="5893">
      <c r="J5893" s="9"/>
      <c r="K5893" s="9"/>
      <c r="L5893" s="9"/>
      <c r="M5893" s="9"/>
    </row>
    <row r="5894">
      <c r="J5894" s="9"/>
      <c r="K5894" s="9"/>
      <c r="L5894" s="9"/>
      <c r="M5894" s="9"/>
    </row>
    <row r="5895">
      <c r="J5895" s="9"/>
      <c r="K5895" s="9"/>
      <c r="L5895" s="9"/>
      <c r="M5895" s="9"/>
    </row>
    <row r="5896">
      <c r="J5896" s="9"/>
      <c r="K5896" s="9"/>
      <c r="L5896" s="9"/>
      <c r="M5896" s="9"/>
    </row>
    <row r="5897">
      <c r="J5897" s="9"/>
      <c r="K5897" s="9"/>
      <c r="L5897" s="9"/>
      <c r="M5897" s="9"/>
    </row>
    <row r="5898">
      <c r="J5898" s="9"/>
      <c r="K5898" s="9"/>
      <c r="L5898" s="9"/>
      <c r="M5898" s="9"/>
    </row>
    <row r="5899">
      <c r="J5899" s="9"/>
      <c r="K5899" s="9"/>
      <c r="L5899" s="9"/>
      <c r="M5899" s="9"/>
    </row>
    <row r="5900">
      <c r="J5900" s="9"/>
      <c r="K5900" s="9"/>
      <c r="L5900" s="9"/>
      <c r="M5900" s="9"/>
    </row>
    <row r="5901">
      <c r="J5901" s="9"/>
      <c r="K5901" s="9"/>
      <c r="L5901" s="9"/>
      <c r="M5901" s="9"/>
    </row>
    <row r="5902">
      <c r="J5902" s="9"/>
      <c r="K5902" s="9"/>
      <c r="L5902" s="9"/>
      <c r="M5902" s="9"/>
    </row>
    <row r="5903">
      <c r="J5903" s="9"/>
      <c r="K5903" s="9"/>
      <c r="L5903" s="9"/>
      <c r="M5903" s="9"/>
    </row>
    <row r="5904">
      <c r="J5904" s="9"/>
      <c r="K5904" s="9"/>
      <c r="L5904" s="9"/>
      <c r="M5904" s="9"/>
    </row>
    <row r="5905">
      <c r="J5905" s="9"/>
      <c r="K5905" s="9"/>
      <c r="L5905" s="9"/>
      <c r="M5905" s="9"/>
    </row>
    <row r="5906">
      <c r="J5906" s="9"/>
      <c r="K5906" s="9"/>
      <c r="L5906" s="9"/>
      <c r="M5906" s="9"/>
    </row>
    <row r="5907">
      <c r="J5907" s="9"/>
      <c r="K5907" s="9"/>
      <c r="L5907" s="9"/>
      <c r="M5907" s="9"/>
    </row>
    <row r="5908">
      <c r="J5908" s="9"/>
      <c r="K5908" s="9"/>
      <c r="L5908" s="9"/>
      <c r="M5908" s="9"/>
    </row>
    <row r="5909">
      <c r="J5909" s="9"/>
      <c r="K5909" s="9"/>
      <c r="L5909" s="9"/>
      <c r="M5909" s="9"/>
    </row>
    <row r="5910">
      <c r="J5910" s="9"/>
      <c r="K5910" s="9"/>
      <c r="L5910" s="9"/>
      <c r="M5910" s="9"/>
    </row>
    <row r="5911">
      <c r="J5911" s="9"/>
      <c r="K5911" s="9"/>
      <c r="L5911" s="9"/>
      <c r="M5911" s="9"/>
    </row>
    <row r="5912">
      <c r="J5912" s="9"/>
      <c r="K5912" s="9"/>
      <c r="L5912" s="9"/>
      <c r="M5912" s="9"/>
    </row>
    <row r="5913">
      <c r="J5913" s="9"/>
      <c r="K5913" s="9"/>
      <c r="L5913" s="9"/>
      <c r="M5913" s="9"/>
    </row>
    <row r="5914">
      <c r="J5914" s="9"/>
      <c r="K5914" s="9"/>
      <c r="L5914" s="9"/>
      <c r="M5914" s="9"/>
    </row>
    <row r="5915">
      <c r="J5915" s="9"/>
      <c r="K5915" s="9"/>
      <c r="L5915" s="9"/>
      <c r="M5915" s="9"/>
    </row>
    <row r="5916">
      <c r="J5916" s="9"/>
      <c r="K5916" s="9"/>
      <c r="L5916" s="9"/>
      <c r="M5916" s="9"/>
    </row>
    <row r="5917">
      <c r="J5917" s="9"/>
      <c r="K5917" s="9"/>
      <c r="L5917" s="9"/>
      <c r="M5917" s="9"/>
    </row>
    <row r="5918">
      <c r="J5918" s="9"/>
      <c r="K5918" s="9"/>
      <c r="L5918" s="9"/>
      <c r="M5918" s="9"/>
    </row>
    <row r="5919">
      <c r="J5919" s="9"/>
      <c r="K5919" s="9"/>
      <c r="L5919" s="9"/>
      <c r="M5919" s="9"/>
    </row>
    <row r="5920">
      <c r="J5920" s="9"/>
      <c r="K5920" s="9"/>
      <c r="L5920" s="9"/>
      <c r="M5920" s="9"/>
    </row>
    <row r="5921">
      <c r="J5921" s="9"/>
      <c r="K5921" s="9"/>
      <c r="L5921" s="9"/>
      <c r="M5921" s="9"/>
    </row>
    <row r="5922">
      <c r="J5922" s="9"/>
      <c r="K5922" s="9"/>
      <c r="L5922" s="9"/>
      <c r="M5922" s="9"/>
    </row>
    <row r="5923">
      <c r="J5923" s="9"/>
      <c r="K5923" s="9"/>
      <c r="L5923" s="9"/>
      <c r="M5923" s="9"/>
    </row>
    <row r="5924">
      <c r="J5924" s="9"/>
      <c r="K5924" s="9"/>
      <c r="L5924" s="9"/>
      <c r="M5924" s="9"/>
    </row>
    <row r="5925">
      <c r="J5925" s="9"/>
      <c r="K5925" s="9"/>
      <c r="L5925" s="9"/>
      <c r="M5925" s="9"/>
    </row>
    <row r="5926">
      <c r="J5926" s="9"/>
      <c r="K5926" s="9"/>
      <c r="L5926" s="9"/>
      <c r="M5926" s="9"/>
    </row>
    <row r="5927">
      <c r="J5927" s="9"/>
      <c r="K5927" s="9"/>
      <c r="L5927" s="9"/>
      <c r="M5927" s="9"/>
    </row>
    <row r="5928">
      <c r="J5928" s="9"/>
      <c r="K5928" s="9"/>
      <c r="L5928" s="9"/>
      <c r="M5928" s="9"/>
    </row>
    <row r="5929">
      <c r="J5929" s="9"/>
      <c r="K5929" s="9"/>
      <c r="L5929" s="9"/>
      <c r="M5929" s="9"/>
    </row>
    <row r="5930">
      <c r="J5930" s="9"/>
      <c r="K5930" s="9"/>
      <c r="L5930" s="9"/>
      <c r="M5930" s="9"/>
    </row>
    <row r="5931">
      <c r="J5931" s="9"/>
      <c r="K5931" s="9"/>
      <c r="L5931" s="9"/>
      <c r="M5931" s="9"/>
    </row>
    <row r="5932">
      <c r="J5932" s="9"/>
      <c r="K5932" s="9"/>
      <c r="L5932" s="9"/>
      <c r="M5932" s="9"/>
    </row>
    <row r="5933">
      <c r="J5933" s="9"/>
      <c r="K5933" s="9"/>
      <c r="L5933" s="9"/>
      <c r="M5933" s="9"/>
    </row>
    <row r="5934">
      <c r="J5934" s="9"/>
      <c r="K5934" s="9"/>
      <c r="L5934" s="9"/>
      <c r="M5934" s="9"/>
    </row>
    <row r="5935">
      <c r="J5935" s="9"/>
      <c r="K5935" s="9"/>
      <c r="L5935" s="9"/>
      <c r="M5935" s="9"/>
    </row>
    <row r="5936">
      <c r="J5936" s="9"/>
      <c r="K5936" s="9"/>
      <c r="L5936" s="9"/>
      <c r="M5936" s="9"/>
    </row>
    <row r="5937">
      <c r="J5937" s="9"/>
      <c r="K5937" s="9"/>
      <c r="L5937" s="9"/>
      <c r="M5937" s="9"/>
    </row>
    <row r="5938">
      <c r="J5938" s="9"/>
      <c r="K5938" s="9"/>
      <c r="L5938" s="9"/>
      <c r="M5938" s="9"/>
    </row>
    <row r="5939">
      <c r="J5939" s="9"/>
      <c r="K5939" s="9"/>
      <c r="L5939" s="9"/>
      <c r="M5939" s="9"/>
    </row>
    <row r="5940">
      <c r="J5940" s="9"/>
      <c r="K5940" s="9"/>
      <c r="L5940" s="9"/>
      <c r="M5940" s="9"/>
    </row>
    <row r="5941">
      <c r="J5941" s="9"/>
      <c r="K5941" s="9"/>
      <c r="L5941" s="9"/>
      <c r="M5941" s="9"/>
    </row>
    <row r="5942">
      <c r="J5942" s="9"/>
      <c r="K5942" s="9"/>
      <c r="L5942" s="9"/>
      <c r="M5942" s="9"/>
    </row>
    <row r="5943">
      <c r="J5943" s="9"/>
      <c r="K5943" s="9"/>
      <c r="L5943" s="9"/>
      <c r="M5943" s="9"/>
    </row>
    <row r="5944">
      <c r="J5944" s="9"/>
      <c r="K5944" s="9"/>
      <c r="L5944" s="9"/>
      <c r="M5944" s="9"/>
    </row>
    <row r="5945">
      <c r="J5945" s="9"/>
      <c r="K5945" s="9"/>
      <c r="L5945" s="9"/>
      <c r="M5945" s="9"/>
    </row>
    <row r="5946">
      <c r="J5946" s="9"/>
      <c r="K5946" s="9"/>
      <c r="L5946" s="9"/>
      <c r="M5946" s="9"/>
    </row>
    <row r="5947">
      <c r="J5947" s="9"/>
      <c r="K5947" s="9"/>
      <c r="L5947" s="9"/>
      <c r="M5947" s="9"/>
    </row>
    <row r="5948">
      <c r="J5948" s="9"/>
      <c r="K5948" s="9"/>
      <c r="L5948" s="9"/>
      <c r="M5948" s="9"/>
    </row>
    <row r="5949">
      <c r="J5949" s="9"/>
      <c r="K5949" s="9"/>
      <c r="L5949" s="9"/>
      <c r="M5949" s="9"/>
    </row>
    <row r="5950">
      <c r="J5950" s="9"/>
      <c r="K5950" s="9"/>
      <c r="L5950" s="9"/>
      <c r="M5950" s="9"/>
    </row>
    <row r="5951">
      <c r="J5951" s="9"/>
      <c r="K5951" s="9"/>
      <c r="L5951" s="9"/>
      <c r="M5951" s="9"/>
    </row>
    <row r="5952">
      <c r="J5952" s="9"/>
      <c r="K5952" s="9"/>
      <c r="L5952" s="9"/>
      <c r="M5952" s="9"/>
    </row>
    <row r="5953">
      <c r="J5953" s="9"/>
      <c r="K5953" s="9"/>
      <c r="L5953" s="9"/>
      <c r="M5953" s="9"/>
    </row>
    <row r="5954">
      <c r="J5954" s="9"/>
      <c r="K5954" s="9"/>
      <c r="L5954" s="9"/>
      <c r="M5954" s="9"/>
    </row>
    <row r="5955">
      <c r="J5955" s="9"/>
      <c r="K5955" s="9"/>
      <c r="L5955" s="9"/>
      <c r="M5955" s="9"/>
    </row>
    <row r="5956">
      <c r="J5956" s="9"/>
      <c r="K5956" s="9"/>
      <c r="L5956" s="9"/>
      <c r="M5956" s="9"/>
    </row>
    <row r="5957">
      <c r="J5957" s="9"/>
      <c r="K5957" s="9"/>
      <c r="L5957" s="9"/>
      <c r="M5957" s="9"/>
    </row>
    <row r="5958">
      <c r="J5958" s="9"/>
      <c r="K5958" s="9"/>
      <c r="L5958" s="9"/>
      <c r="M5958" s="9"/>
    </row>
    <row r="5959">
      <c r="J5959" s="9"/>
      <c r="K5959" s="9"/>
      <c r="L5959" s="9"/>
      <c r="M5959" s="9"/>
    </row>
    <row r="5960">
      <c r="J5960" s="9"/>
      <c r="K5960" s="9"/>
      <c r="L5960" s="9"/>
      <c r="M5960" s="9"/>
    </row>
    <row r="5961">
      <c r="J5961" s="9"/>
      <c r="K5961" s="9"/>
      <c r="L5961" s="9"/>
      <c r="M5961" s="9"/>
    </row>
    <row r="5962">
      <c r="J5962" s="9"/>
      <c r="K5962" s="9"/>
      <c r="L5962" s="9"/>
      <c r="M5962" s="9"/>
    </row>
    <row r="5963">
      <c r="J5963" s="9"/>
      <c r="K5963" s="9"/>
      <c r="L5963" s="9"/>
      <c r="M5963" s="9"/>
    </row>
    <row r="5964">
      <c r="J5964" s="9"/>
      <c r="K5964" s="9"/>
      <c r="L5964" s="9"/>
      <c r="M5964" s="9"/>
    </row>
    <row r="5965">
      <c r="J5965" s="9"/>
      <c r="K5965" s="9"/>
      <c r="L5965" s="9"/>
      <c r="M5965" s="9"/>
    </row>
    <row r="5966">
      <c r="J5966" s="9"/>
      <c r="K5966" s="9"/>
      <c r="L5966" s="9"/>
      <c r="M5966" s="9"/>
    </row>
    <row r="5967">
      <c r="J5967" s="9"/>
      <c r="K5967" s="9"/>
      <c r="L5967" s="9"/>
      <c r="M5967" s="9"/>
    </row>
    <row r="5968">
      <c r="J5968" s="9"/>
      <c r="K5968" s="9"/>
      <c r="L5968" s="9"/>
      <c r="M5968" s="9"/>
    </row>
    <row r="5969">
      <c r="J5969" s="9"/>
      <c r="K5969" s="9"/>
      <c r="L5969" s="9"/>
      <c r="M5969" s="9"/>
    </row>
    <row r="5970">
      <c r="J5970" s="9"/>
      <c r="K5970" s="9"/>
      <c r="L5970" s="9"/>
      <c r="M5970" s="9"/>
    </row>
    <row r="5971">
      <c r="J5971" s="9"/>
      <c r="K5971" s="9"/>
      <c r="L5971" s="9"/>
      <c r="M5971" s="9"/>
    </row>
    <row r="5972">
      <c r="J5972" s="9"/>
      <c r="K5972" s="9"/>
      <c r="L5972" s="9"/>
      <c r="M5972" s="9"/>
    </row>
    <row r="5973">
      <c r="J5973" s="9"/>
      <c r="K5973" s="9"/>
      <c r="L5973" s="9"/>
      <c r="M5973" s="9"/>
    </row>
    <row r="5974">
      <c r="J5974" s="9"/>
      <c r="K5974" s="9"/>
      <c r="L5974" s="9"/>
      <c r="M5974" s="9"/>
    </row>
    <row r="5975">
      <c r="J5975" s="9"/>
      <c r="K5975" s="9"/>
      <c r="L5975" s="9"/>
      <c r="M5975" s="9"/>
    </row>
    <row r="5976">
      <c r="J5976" s="9"/>
      <c r="K5976" s="9"/>
      <c r="L5976" s="9"/>
      <c r="M5976" s="9"/>
    </row>
    <row r="5977">
      <c r="J5977" s="9"/>
      <c r="K5977" s="9"/>
      <c r="L5977" s="9"/>
      <c r="M5977" s="9"/>
    </row>
    <row r="5978">
      <c r="J5978" s="9"/>
      <c r="K5978" s="9"/>
      <c r="L5978" s="9"/>
      <c r="M5978" s="9"/>
    </row>
    <row r="5979">
      <c r="J5979" s="9"/>
      <c r="K5979" s="9"/>
      <c r="L5979" s="9"/>
      <c r="M5979" s="9"/>
    </row>
    <row r="5980">
      <c r="J5980" s="9"/>
      <c r="K5980" s="9"/>
      <c r="L5980" s="9"/>
      <c r="M5980" s="9"/>
    </row>
    <row r="5981">
      <c r="J5981" s="9"/>
      <c r="K5981" s="9"/>
      <c r="L5981" s="9"/>
      <c r="M5981" s="9"/>
    </row>
    <row r="5982">
      <c r="J5982" s="9"/>
      <c r="K5982" s="9"/>
      <c r="L5982" s="9"/>
      <c r="M5982" s="9"/>
    </row>
    <row r="5983">
      <c r="J5983" s="9"/>
      <c r="K5983" s="9"/>
      <c r="L5983" s="9"/>
      <c r="M5983" s="9"/>
    </row>
    <row r="5984">
      <c r="J5984" s="9"/>
      <c r="K5984" s="9"/>
      <c r="L5984" s="9"/>
      <c r="M5984" s="9"/>
    </row>
    <row r="5985">
      <c r="J5985" s="9"/>
      <c r="K5985" s="9"/>
      <c r="L5985" s="9"/>
      <c r="M5985" s="9"/>
    </row>
    <row r="5986">
      <c r="J5986" s="9"/>
      <c r="K5986" s="9"/>
      <c r="L5986" s="9"/>
      <c r="M5986" s="9"/>
    </row>
    <row r="5987">
      <c r="J5987" s="9"/>
      <c r="K5987" s="9"/>
      <c r="L5987" s="9"/>
      <c r="M5987" s="9"/>
    </row>
    <row r="5988">
      <c r="J5988" s="9"/>
      <c r="K5988" s="9"/>
      <c r="L5988" s="9"/>
      <c r="M5988" s="9"/>
    </row>
    <row r="5989">
      <c r="J5989" s="9"/>
      <c r="K5989" s="9"/>
      <c r="L5989" s="9"/>
      <c r="M5989" s="9"/>
    </row>
    <row r="5990">
      <c r="J5990" s="9"/>
      <c r="K5990" s="9"/>
      <c r="L5990" s="9"/>
      <c r="M5990" s="9"/>
    </row>
    <row r="5991">
      <c r="J5991" s="9"/>
      <c r="K5991" s="9"/>
      <c r="L5991" s="9"/>
      <c r="M5991" s="9"/>
    </row>
    <row r="5992">
      <c r="J5992" s="9"/>
      <c r="K5992" s="9"/>
      <c r="L5992" s="9"/>
      <c r="M5992" s="9"/>
    </row>
    <row r="5993">
      <c r="J5993" s="9"/>
      <c r="K5993" s="9"/>
      <c r="L5993" s="9"/>
      <c r="M5993" s="9"/>
    </row>
    <row r="5994">
      <c r="J5994" s="9"/>
      <c r="K5994" s="9"/>
      <c r="L5994" s="9"/>
      <c r="M5994" s="9"/>
    </row>
    <row r="5995">
      <c r="J5995" s="9"/>
      <c r="K5995" s="9"/>
      <c r="L5995" s="9"/>
      <c r="M5995" s="9"/>
    </row>
    <row r="5996">
      <c r="J5996" s="9"/>
      <c r="K5996" s="9"/>
      <c r="L5996" s="9"/>
      <c r="M5996" s="9"/>
    </row>
    <row r="5997">
      <c r="J5997" s="9"/>
      <c r="K5997" s="9"/>
      <c r="L5997" s="9"/>
      <c r="M5997" s="9"/>
    </row>
    <row r="5998">
      <c r="J5998" s="9"/>
      <c r="K5998" s="9"/>
      <c r="L5998" s="9"/>
      <c r="M5998" s="9"/>
    </row>
    <row r="5999">
      <c r="J5999" s="9"/>
      <c r="K5999" s="9"/>
      <c r="L5999" s="9"/>
      <c r="M5999" s="9"/>
    </row>
    <row r="6000">
      <c r="J6000" s="9"/>
      <c r="K6000" s="9"/>
      <c r="L6000" s="9"/>
      <c r="M6000" s="9"/>
    </row>
    <row r="6001">
      <c r="J6001" s="9"/>
      <c r="K6001" s="9"/>
      <c r="L6001" s="9"/>
      <c r="M6001" s="9"/>
    </row>
    <row r="6002">
      <c r="J6002" s="9"/>
      <c r="K6002" s="9"/>
      <c r="L6002" s="9"/>
      <c r="M6002" s="9"/>
    </row>
    <row r="6003">
      <c r="J6003" s="9"/>
      <c r="K6003" s="9"/>
      <c r="L6003" s="9"/>
      <c r="M6003" s="9"/>
    </row>
    <row r="6004">
      <c r="J6004" s="9"/>
      <c r="K6004" s="9"/>
      <c r="L6004" s="9"/>
      <c r="M6004" s="9"/>
    </row>
    <row r="6005">
      <c r="J6005" s="9"/>
      <c r="K6005" s="9"/>
      <c r="L6005" s="9"/>
      <c r="M6005" s="9"/>
    </row>
    <row r="6006">
      <c r="J6006" s="9"/>
      <c r="K6006" s="9"/>
      <c r="L6006" s="9"/>
      <c r="M6006" s="9"/>
    </row>
    <row r="6007">
      <c r="J6007" s="9"/>
      <c r="K6007" s="9"/>
      <c r="L6007" s="9"/>
      <c r="M6007" s="9"/>
    </row>
    <row r="6008">
      <c r="J6008" s="9"/>
      <c r="K6008" s="9"/>
      <c r="L6008" s="9"/>
      <c r="M6008" s="9"/>
    </row>
    <row r="6009">
      <c r="J6009" s="9"/>
      <c r="K6009" s="9"/>
      <c r="L6009" s="9"/>
      <c r="M6009" s="9"/>
    </row>
    <row r="6010">
      <c r="J6010" s="9"/>
      <c r="K6010" s="9"/>
      <c r="L6010" s="9"/>
      <c r="M6010" s="9"/>
    </row>
    <row r="6011">
      <c r="J6011" s="9"/>
      <c r="K6011" s="9"/>
      <c r="L6011" s="9"/>
      <c r="M6011" s="9"/>
    </row>
    <row r="6012">
      <c r="J6012" s="9"/>
      <c r="K6012" s="9"/>
      <c r="L6012" s="9"/>
      <c r="M6012" s="9"/>
    </row>
    <row r="6013">
      <c r="J6013" s="9"/>
      <c r="K6013" s="9"/>
      <c r="L6013" s="9"/>
      <c r="M6013" s="9"/>
    </row>
    <row r="6014">
      <c r="J6014" s="9"/>
      <c r="K6014" s="9"/>
      <c r="L6014" s="9"/>
      <c r="M6014" s="9"/>
    </row>
    <row r="6015">
      <c r="J6015" s="9"/>
      <c r="K6015" s="9"/>
      <c r="L6015" s="9"/>
      <c r="M6015" s="9"/>
    </row>
    <row r="6016">
      <c r="J6016" s="9"/>
      <c r="K6016" s="9"/>
      <c r="L6016" s="9"/>
      <c r="M6016" s="9"/>
    </row>
    <row r="6017">
      <c r="J6017" s="9"/>
      <c r="K6017" s="9"/>
      <c r="L6017" s="9"/>
      <c r="M6017" s="9"/>
    </row>
    <row r="6018">
      <c r="J6018" s="9"/>
      <c r="K6018" s="9"/>
      <c r="L6018" s="9"/>
      <c r="M6018" s="9"/>
    </row>
    <row r="6019">
      <c r="J6019" s="9"/>
      <c r="K6019" s="9"/>
      <c r="L6019" s="9"/>
      <c r="M6019" s="9"/>
    </row>
    <row r="6020">
      <c r="J6020" s="9"/>
      <c r="K6020" s="9"/>
      <c r="L6020" s="9"/>
      <c r="M6020" s="9"/>
    </row>
    <row r="6021">
      <c r="J6021" s="9"/>
      <c r="K6021" s="9"/>
      <c r="L6021" s="9"/>
      <c r="M6021" s="9"/>
    </row>
    <row r="6022">
      <c r="J6022" s="9"/>
      <c r="K6022" s="9"/>
      <c r="L6022" s="9"/>
      <c r="M6022" s="9"/>
    </row>
    <row r="6023">
      <c r="J6023" s="9"/>
      <c r="K6023" s="9"/>
      <c r="L6023" s="9"/>
      <c r="M6023" s="9"/>
    </row>
    <row r="6024">
      <c r="J6024" s="9"/>
      <c r="K6024" s="9"/>
      <c r="L6024" s="9"/>
      <c r="M6024" s="9"/>
    </row>
    <row r="6025">
      <c r="J6025" s="9"/>
      <c r="K6025" s="9"/>
      <c r="L6025" s="9"/>
      <c r="M6025" s="9"/>
    </row>
    <row r="6026">
      <c r="J6026" s="9"/>
      <c r="K6026" s="9"/>
      <c r="L6026" s="9"/>
      <c r="M6026" s="9"/>
    </row>
    <row r="6027">
      <c r="J6027" s="9"/>
      <c r="K6027" s="9"/>
      <c r="L6027" s="9"/>
      <c r="M6027" s="9"/>
    </row>
    <row r="6028">
      <c r="J6028" s="9"/>
      <c r="K6028" s="9"/>
      <c r="L6028" s="9"/>
      <c r="M6028" s="9"/>
    </row>
    <row r="6029">
      <c r="J6029" s="9"/>
      <c r="K6029" s="9"/>
      <c r="L6029" s="9"/>
      <c r="M6029" s="9"/>
    </row>
    <row r="6030">
      <c r="J6030" s="9"/>
      <c r="K6030" s="9"/>
      <c r="L6030" s="9"/>
      <c r="M6030" s="9"/>
    </row>
    <row r="6031">
      <c r="J6031" s="9"/>
      <c r="K6031" s="9"/>
      <c r="L6031" s="9"/>
      <c r="M6031" s="9"/>
    </row>
    <row r="6032">
      <c r="J6032" s="9"/>
      <c r="K6032" s="9"/>
      <c r="L6032" s="9"/>
      <c r="M6032" s="9"/>
    </row>
    <row r="6033">
      <c r="J6033" s="9"/>
      <c r="K6033" s="9"/>
      <c r="L6033" s="9"/>
      <c r="M6033" s="9"/>
    </row>
    <row r="6034">
      <c r="J6034" s="9"/>
      <c r="K6034" s="9"/>
      <c r="L6034" s="9"/>
      <c r="M6034" s="9"/>
    </row>
    <row r="6035">
      <c r="J6035" s="9"/>
      <c r="K6035" s="9"/>
      <c r="L6035" s="9"/>
      <c r="M6035" s="9"/>
    </row>
    <row r="6036">
      <c r="J6036" s="9"/>
      <c r="K6036" s="9"/>
      <c r="L6036" s="9"/>
      <c r="M6036" s="9"/>
    </row>
    <row r="6037">
      <c r="J6037" s="9"/>
      <c r="K6037" s="9"/>
      <c r="L6037" s="9"/>
      <c r="M6037" s="9"/>
    </row>
    <row r="6038">
      <c r="J6038" s="9"/>
      <c r="K6038" s="9"/>
      <c r="L6038" s="9"/>
      <c r="M6038" s="9"/>
    </row>
    <row r="6039">
      <c r="J6039" s="9"/>
      <c r="K6039" s="9"/>
      <c r="L6039" s="9"/>
      <c r="M6039" s="9"/>
    </row>
    <row r="6040">
      <c r="J6040" s="9"/>
      <c r="K6040" s="9"/>
      <c r="L6040" s="9"/>
      <c r="M6040" s="9"/>
    </row>
    <row r="6041">
      <c r="J6041" s="9"/>
      <c r="K6041" s="9"/>
      <c r="L6041" s="9"/>
      <c r="M6041" s="9"/>
    </row>
    <row r="6042">
      <c r="J6042" s="9"/>
      <c r="K6042" s="9"/>
      <c r="L6042" s="9"/>
      <c r="M6042" s="9"/>
    </row>
    <row r="6043">
      <c r="J6043" s="9"/>
      <c r="K6043" s="9"/>
      <c r="L6043" s="9"/>
      <c r="M6043" s="9"/>
    </row>
    <row r="6044">
      <c r="J6044" s="9"/>
      <c r="K6044" s="9"/>
      <c r="L6044" s="9"/>
      <c r="M6044" s="9"/>
    </row>
    <row r="6045">
      <c r="J6045" s="9"/>
      <c r="K6045" s="9"/>
      <c r="L6045" s="9"/>
      <c r="M6045" s="9"/>
    </row>
    <row r="6046">
      <c r="J6046" s="9"/>
      <c r="K6046" s="9"/>
      <c r="L6046" s="9"/>
      <c r="M6046" s="9"/>
    </row>
    <row r="6047">
      <c r="J6047" s="9"/>
      <c r="K6047" s="9"/>
      <c r="L6047" s="9"/>
      <c r="M6047" s="9"/>
    </row>
    <row r="6048">
      <c r="J6048" s="9"/>
      <c r="K6048" s="9"/>
      <c r="L6048" s="9"/>
      <c r="M6048" s="9"/>
    </row>
    <row r="6049">
      <c r="J6049" s="9"/>
      <c r="K6049" s="9"/>
      <c r="L6049" s="9"/>
      <c r="M6049" s="9"/>
    </row>
    <row r="6050">
      <c r="J6050" s="9"/>
      <c r="K6050" s="9"/>
      <c r="L6050" s="9"/>
      <c r="M6050" s="9"/>
    </row>
    <row r="6051">
      <c r="J6051" s="9"/>
      <c r="K6051" s="9"/>
      <c r="L6051" s="9"/>
      <c r="M6051" s="9"/>
    </row>
    <row r="6052">
      <c r="J6052" s="9"/>
      <c r="K6052" s="9"/>
      <c r="L6052" s="9"/>
      <c r="M6052" s="9"/>
    </row>
    <row r="6053">
      <c r="J6053" s="9"/>
      <c r="K6053" s="9"/>
      <c r="L6053" s="9"/>
      <c r="M6053" s="9"/>
    </row>
    <row r="6054">
      <c r="J6054" s="9"/>
      <c r="K6054" s="9"/>
      <c r="L6054" s="9"/>
      <c r="M6054" s="9"/>
    </row>
    <row r="6055">
      <c r="J6055" s="9"/>
      <c r="K6055" s="9"/>
      <c r="L6055" s="9"/>
      <c r="M6055" s="9"/>
    </row>
    <row r="6056">
      <c r="J6056" s="9"/>
      <c r="K6056" s="9"/>
      <c r="L6056" s="9"/>
      <c r="M6056" s="9"/>
    </row>
    <row r="6057">
      <c r="J6057" s="9"/>
      <c r="K6057" s="9"/>
      <c r="L6057" s="9"/>
      <c r="M6057" s="9"/>
    </row>
    <row r="6058">
      <c r="J6058" s="9"/>
      <c r="K6058" s="9"/>
      <c r="L6058" s="9"/>
      <c r="M6058" s="9"/>
    </row>
    <row r="6059">
      <c r="J6059" s="9"/>
      <c r="K6059" s="9"/>
      <c r="L6059" s="9"/>
      <c r="M6059" s="9"/>
    </row>
    <row r="6060">
      <c r="J6060" s="9"/>
      <c r="K6060" s="9"/>
      <c r="L6060" s="9"/>
      <c r="M6060" s="9"/>
    </row>
    <row r="6061">
      <c r="J6061" s="9"/>
      <c r="K6061" s="9"/>
      <c r="L6061" s="9"/>
      <c r="M6061" s="9"/>
    </row>
    <row r="6062">
      <c r="J6062" s="9"/>
      <c r="K6062" s="9"/>
      <c r="L6062" s="9"/>
      <c r="M6062" s="9"/>
    </row>
    <row r="6063">
      <c r="J6063" s="9"/>
      <c r="K6063" s="9"/>
      <c r="L6063" s="9"/>
      <c r="M6063" s="9"/>
    </row>
    <row r="6064">
      <c r="J6064" s="9"/>
      <c r="K6064" s="9"/>
      <c r="L6064" s="9"/>
      <c r="M6064" s="9"/>
    </row>
    <row r="6065">
      <c r="J6065" s="9"/>
      <c r="K6065" s="9"/>
      <c r="L6065" s="9"/>
      <c r="M6065" s="9"/>
    </row>
    <row r="6066">
      <c r="J6066" s="9"/>
      <c r="K6066" s="9"/>
      <c r="L6066" s="9"/>
      <c r="M6066" s="9"/>
    </row>
    <row r="6067">
      <c r="J6067" s="9"/>
      <c r="K6067" s="9"/>
      <c r="L6067" s="9"/>
      <c r="M6067" s="9"/>
    </row>
    <row r="6068">
      <c r="J6068" s="9"/>
      <c r="K6068" s="9"/>
      <c r="L6068" s="9"/>
      <c r="M6068" s="9"/>
    </row>
    <row r="6069">
      <c r="J6069" s="9"/>
      <c r="K6069" s="9"/>
      <c r="L6069" s="9"/>
      <c r="M6069" s="9"/>
    </row>
    <row r="6070">
      <c r="J6070" s="9"/>
      <c r="K6070" s="9"/>
      <c r="L6070" s="9"/>
      <c r="M6070" s="9"/>
    </row>
    <row r="6071">
      <c r="J6071" s="9"/>
      <c r="K6071" s="9"/>
      <c r="L6071" s="9"/>
      <c r="M6071" s="9"/>
    </row>
    <row r="6072">
      <c r="J6072" s="9"/>
      <c r="K6072" s="9"/>
      <c r="L6072" s="9"/>
      <c r="M6072" s="9"/>
    </row>
    <row r="6073">
      <c r="J6073" s="9"/>
      <c r="K6073" s="9"/>
      <c r="L6073" s="9"/>
      <c r="M6073" s="9"/>
    </row>
    <row r="6074">
      <c r="J6074" s="9"/>
      <c r="K6074" s="9"/>
      <c r="L6074" s="9"/>
      <c r="M6074" s="9"/>
    </row>
    <row r="6075">
      <c r="J6075" s="9"/>
      <c r="K6075" s="9"/>
      <c r="L6075" s="9"/>
      <c r="M6075" s="9"/>
    </row>
    <row r="6076">
      <c r="J6076" s="9"/>
      <c r="K6076" s="9"/>
      <c r="L6076" s="9"/>
      <c r="M6076" s="9"/>
    </row>
    <row r="6077">
      <c r="J6077" s="9"/>
      <c r="K6077" s="9"/>
      <c r="L6077" s="9"/>
      <c r="M6077" s="9"/>
    </row>
    <row r="6078">
      <c r="J6078" s="9"/>
      <c r="K6078" s="9"/>
      <c r="L6078" s="9"/>
      <c r="M6078" s="9"/>
    </row>
    <row r="6079">
      <c r="J6079" s="9"/>
      <c r="K6079" s="9"/>
      <c r="L6079" s="9"/>
      <c r="M6079" s="9"/>
    </row>
    <row r="6080">
      <c r="J6080" s="9"/>
      <c r="K6080" s="9"/>
      <c r="L6080" s="9"/>
      <c r="M6080" s="9"/>
    </row>
    <row r="6081">
      <c r="J6081" s="9"/>
      <c r="K6081" s="9"/>
      <c r="L6081" s="9"/>
      <c r="M6081" s="9"/>
    </row>
    <row r="6082">
      <c r="J6082" s="9"/>
      <c r="K6082" s="9"/>
      <c r="L6082" s="9"/>
      <c r="M6082" s="9"/>
    </row>
    <row r="6083">
      <c r="J6083" s="9"/>
      <c r="K6083" s="9"/>
      <c r="L6083" s="9"/>
      <c r="M6083" s="9"/>
    </row>
    <row r="6084">
      <c r="J6084" s="9"/>
      <c r="K6084" s="9"/>
      <c r="L6084" s="9"/>
      <c r="M6084" s="9"/>
    </row>
    <row r="6085">
      <c r="J6085" s="9"/>
      <c r="K6085" s="9"/>
      <c r="L6085" s="9"/>
      <c r="M6085" s="9"/>
    </row>
    <row r="6086">
      <c r="J6086" s="9"/>
      <c r="K6086" s="9"/>
      <c r="L6086" s="9"/>
      <c r="M6086" s="9"/>
    </row>
    <row r="6087">
      <c r="J6087" s="9"/>
      <c r="K6087" s="9"/>
      <c r="L6087" s="9"/>
      <c r="M6087" s="9"/>
    </row>
    <row r="6088">
      <c r="J6088" s="9"/>
      <c r="K6088" s="9"/>
      <c r="L6088" s="9"/>
      <c r="M6088" s="9"/>
    </row>
    <row r="6089">
      <c r="J6089" s="9"/>
      <c r="K6089" s="9"/>
      <c r="L6089" s="9"/>
      <c r="M6089" s="9"/>
    </row>
    <row r="6090">
      <c r="J6090" s="9"/>
      <c r="K6090" s="9"/>
      <c r="L6090" s="9"/>
      <c r="M6090" s="9"/>
    </row>
    <row r="6091">
      <c r="J6091" s="9"/>
      <c r="K6091" s="9"/>
      <c r="L6091" s="9"/>
      <c r="M6091" s="9"/>
    </row>
    <row r="6092">
      <c r="J6092" s="9"/>
      <c r="K6092" s="9"/>
      <c r="L6092" s="9"/>
      <c r="M6092" s="9"/>
    </row>
    <row r="6093">
      <c r="J6093" s="9"/>
      <c r="K6093" s="9"/>
      <c r="L6093" s="9"/>
      <c r="M6093" s="9"/>
    </row>
    <row r="6094">
      <c r="J6094" s="9"/>
      <c r="K6094" s="9"/>
      <c r="L6094" s="9"/>
      <c r="M6094" s="9"/>
    </row>
    <row r="6095">
      <c r="J6095" s="9"/>
      <c r="K6095" s="9"/>
      <c r="L6095" s="9"/>
      <c r="M6095" s="9"/>
    </row>
    <row r="6096">
      <c r="J6096" s="9"/>
      <c r="K6096" s="9"/>
      <c r="L6096" s="9"/>
      <c r="M6096" s="9"/>
    </row>
    <row r="6097">
      <c r="J6097" s="9"/>
      <c r="K6097" s="9"/>
      <c r="L6097" s="9"/>
      <c r="M6097" s="9"/>
    </row>
    <row r="6098">
      <c r="J6098" s="9"/>
      <c r="K6098" s="9"/>
      <c r="L6098" s="9"/>
      <c r="M6098" s="9"/>
    </row>
    <row r="6099">
      <c r="J6099" s="9"/>
      <c r="K6099" s="9"/>
      <c r="L6099" s="9"/>
      <c r="M6099" s="9"/>
    </row>
    <row r="6100">
      <c r="J6100" s="9"/>
      <c r="K6100" s="9"/>
      <c r="L6100" s="9"/>
      <c r="M6100" s="9"/>
    </row>
    <row r="6101">
      <c r="J6101" s="9"/>
      <c r="K6101" s="9"/>
      <c r="L6101" s="9"/>
      <c r="M6101" s="9"/>
    </row>
    <row r="6102">
      <c r="J6102" s="9"/>
      <c r="K6102" s="9"/>
      <c r="L6102" s="9"/>
      <c r="M6102" s="9"/>
    </row>
    <row r="6103">
      <c r="J6103" s="9"/>
      <c r="K6103" s="9"/>
      <c r="L6103" s="9"/>
      <c r="M6103" s="9"/>
    </row>
    <row r="6104">
      <c r="J6104" s="9"/>
      <c r="K6104" s="9"/>
      <c r="L6104" s="9"/>
      <c r="M6104" s="9"/>
    </row>
    <row r="6105">
      <c r="J6105" s="9"/>
      <c r="K6105" s="9"/>
      <c r="L6105" s="9"/>
      <c r="M6105" s="9"/>
    </row>
    <row r="6106">
      <c r="J6106" s="9"/>
      <c r="K6106" s="9"/>
      <c r="L6106" s="9"/>
      <c r="M6106" s="9"/>
    </row>
    <row r="6107">
      <c r="J6107" s="9"/>
      <c r="K6107" s="9"/>
      <c r="L6107" s="9"/>
      <c r="M6107" s="9"/>
    </row>
    <row r="6108">
      <c r="J6108" s="9"/>
      <c r="K6108" s="9"/>
      <c r="L6108" s="9"/>
      <c r="M6108" s="9"/>
    </row>
    <row r="6109">
      <c r="J6109" s="9"/>
      <c r="K6109" s="9"/>
      <c r="L6109" s="9"/>
      <c r="M6109" s="9"/>
    </row>
    <row r="6110">
      <c r="J6110" s="9"/>
      <c r="K6110" s="9"/>
      <c r="L6110" s="9"/>
      <c r="M6110" s="9"/>
    </row>
    <row r="6111">
      <c r="J6111" s="9"/>
      <c r="K6111" s="9"/>
      <c r="L6111" s="9"/>
      <c r="M6111" s="9"/>
    </row>
    <row r="6112">
      <c r="J6112" s="9"/>
      <c r="K6112" s="9"/>
      <c r="L6112" s="9"/>
      <c r="M6112" s="9"/>
    </row>
    <row r="6113">
      <c r="J6113" s="9"/>
      <c r="K6113" s="9"/>
      <c r="L6113" s="9"/>
      <c r="M6113" s="9"/>
    </row>
    <row r="6114">
      <c r="J6114" s="9"/>
      <c r="K6114" s="9"/>
      <c r="L6114" s="9"/>
      <c r="M6114" s="9"/>
    </row>
    <row r="6115">
      <c r="J6115" s="9"/>
      <c r="K6115" s="9"/>
      <c r="L6115" s="9"/>
      <c r="M6115" s="9"/>
    </row>
    <row r="6116">
      <c r="J6116" s="9"/>
      <c r="K6116" s="9"/>
      <c r="L6116" s="9"/>
      <c r="M6116" s="9"/>
    </row>
    <row r="6117">
      <c r="J6117" s="9"/>
      <c r="K6117" s="9"/>
      <c r="L6117" s="9"/>
      <c r="M6117" s="9"/>
    </row>
    <row r="6118">
      <c r="J6118" s="9"/>
      <c r="K6118" s="9"/>
      <c r="L6118" s="9"/>
      <c r="M6118" s="9"/>
    </row>
    <row r="6119">
      <c r="J6119" s="9"/>
      <c r="K6119" s="9"/>
      <c r="L6119" s="9"/>
      <c r="M6119" s="9"/>
    </row>
    <row r="6120">
      <c r="J6120" s="9"/>
      <c r="K6120" s="9"/>
      <c r="L6120" s="9"/>
      <c r="M6120" s="9"/>
    </row>
    <row r="6121">
      <c r="J6121" s="9"/>
      <c r="K6121" s="9"/>
      <c r="L6121" s="9"/>
      <c r="M6121" s="9"/>
    </row>
    <row r="6122">
      <c r="J6122" s="9"/>
      <c r="K6122" s="9"/>
      <c r="L6122" s="9"/>
      <c r="M6122" s="9"/>
    </row>
    <row r="6123">
      <c r="J6123" s="9"/>
      <c r="K6123" s="9"/>
      <c r="L6123" s="9"/>
      <c r="M6123" s="9"/>
    </row>
    <row r="6124">
      <c r="J6124" s="9"/>
      <c r="K6124" s="9"/>
      <c r="L6124" s="9"/>
      <c r="M6124" s="9"/>
    </row>
    <row r="6125">
      <c r="J6125" s="9"/>
      <c r="K6125" s="9"/>
      <c r="L6125" s="9"/>
      <c r="M6125" s="9"/>
    </row>
    <row r="6126">
      <c r="J6126" s="9"/>
      <c r="K6126" s="9"/>
      <c r="L6126" s="9"/>
      <c r="M6126" s="9"/>
    </row>
    <row r="6127">
      <c r="J6127" s="9"/>
      <c r="K6127" s="9"/>
      <c r="L6127" s="9"/>
      <c r="M6127" s="9"/>
    </row>
    <row r="6128">
      <c r="J6128" s="9"/>
      <c r="K6128" s="9"/>
      <c r="L6128" s="9"/>
      <c r="M6128" s="9"/>
    </row>
    <row r="6129">
      <c r="J6129" s="9"/>
      <c r="K6129" s="9"/>
      <c r="L6129" s="9"/>
      <c r="M6129" s="9"/>
    </row>
    <row r="6130">
      <c r="J6130" s="9"/>
      <c r="K6130" s="9"/>
      <c r="L6130" s="9"/>
      <c r="M6130" s="9"/>
    </row>
    <row r="6131">
      <c r="J6131" s="9"/>
      <c r="K6131" s="9"/>
      <c r="L6131" s="9"/>
      <c r="M6131" s="9"/>
    </row>
    <row r="6132">
      <c r="J6132" s="9"/>
      <c r="K6132" s="9"/>
      <c r="L6132" s="9"/>
      <c r="M6132" s="9"/>
    </row>
    <row r="6133">
      <c r="J6133" s="9"/>
      <c r="K6133" s="9"/>
      <c r="L6133" s="9"/>
      <c r="M6133" s="9"/>
    </row>
    <row r="6134">
      <c r="J6134" s="9"/>
      <c r="K6134" s="9"/>
      <c r="L6134" s="9"/>
      <c r="M6134" s="9"/>
    </row>
    <row r="6135">
      <c r="J6135" s="9"/>
      <c r="K6135" s="9"/>
      <c r="L6135" s="9"/>
      <c r="M6135" s="9"/>
    </row>
    <row r="6136">
      <c r="J6136" s="9"/>
      <c r="K6136" s="9"/>
      <c r="L6136" s="9"/>
      <c r="M6136" s="9"/>
    </row>
    <row r="6137">
      <c r="J6137" s="9"/>
      <c r="K6137" s="9"/>
      <c r="L6137" s="9"/>
      <c r="M6137" s="9"/>
    </row>
    <row r="6138">
      <c r="J6138" s="9"/>
      <c r="K6138" s="9"/>
      <c r="L6138" s="9"/>
      <c r="M6138" s="9"/>
    </row>
    <row r="6139">
      <c r="J6139" s="9"/>
      <c r="K6139" s="9"/>
      <c r="L6139" s="9"/>
      <c r="M6139" s="9"/>
    </row>
    <row r="6140">
      <c r="J6140" s="9"/>
      <c r="K6140" s="9"/>
      <c r="L6140" s="9"/>
      <c r="M6140" s="9"/>
    </row>
    <row r="6141">
      <c r="J6141" s="9"/>
      <c r="K6141" s="9"/>
      <c r="L6141" s="9"/>
      <c r="M6141" s="9"/>
    </row>
    <row r="6142">
      <c r="J6142" s="9"/>
      <c r="K6142" s="9"/>
      <c r="L6142" s="9"/>
      <c r="M6142" s="9"/>
    </row>
    <row r="6143">
      <c r="J6143" s="9"/>
      <c r="K6143" s="9"/>
      <c r="L6143" s="9"/>
      <c r="M6143" s="9"/>
    </row>
    <row r="6144">
      <c r="J6144" s="9"/>
      <c r="K6144" s="9"/>
      <c r="L6144" s="9"/>
      <c r="M6144" s="9"/>
    </row>
    <row r="6145">
      <c r="J6145" s="9"/>
      <c r="K6145" s="9"/>
      <c r="L6145" s="9"/>
      <c r="M6145" s="9"/>
    </row>
    <row r="6146">
      <c r="J6146" s="9"/>
      <c r="K6146" s="9"/>
      <c r="L6146" s="9"/>
      <c r="M6146" s="9"/>
    </row>
    <row r="6147">
      <c r="J6147" s="9"/>
      <c r="K6147" s="9"/>
      <c r="L6147" s="9"/>
      <c r="M6147" s="9"/>
    </row>
    <row r="6148">
      <c r="J6148" s="9"/>
      <c r="K6148" s="9"/>
      <c r="L6148" s="9"/>
      <c r="M6148" s="9"/>
    </row>
    <row r="6149">
      <c r="J6149" s="9"/>
      <c r="K6149" s="9"/>
      <c r="L6149" s="9"/>
      <c r="M6149" s="9"/>
    </row>
    <row r="6150">
      <c r="J6150" s="9"/>
      <c r="K6150" s="9"/>
      <c r="L6150" s="9"/>
      <c r="M6150" s="9"/>
    </row>
    <row r="6151">
      <c r="J6151" s="9"/>
      <c r="K6151" s="9"/>
      <c r="L6151" s="9"/>
      <c r="M6151" s="9"/>
    </row>
    <row r="6152">
      <c r="J6152" s="9"/>
      <c r="K6152" s="9"/>
      <c r="L6152" s="9"/>
      <c r="M6152" s="9"/>
    </row>
    <row r="6153">
      <c r="J6153" s="9"/>
      <c r="K6153" s="9"/>
      <c r="L6153" s="9"/>
      <c r="M6153" s="9"/>
    </row>
    <row r="6154">
      <c r="J6154" s="9"/>
      <c r="K6154" s="9"/>
      <c r="L6154" s="9"/>
      <c r="M6154" s="9"/>
    </row>
    <row r="6155">
      <c r="J6155" s="9"/>
      <c r="K6155" s="9"/>
      <c r="L6155" s="9"/>
      <c r="M6155" s="9"/>
    </row>
    <row r="6156">
      <c r="J6156" s="9"/>
      <c r="K6156" s="9"/>
      <c r="L6156" s="9"/>
      <c r="M6156" s="9"/>
    </row>
    <row r="6157">
      <c r="J6157" s="9"/>
      <c r="K6157" s="9"/>
      <c r="L6157" s="9"/>
      <c r="M6157" s="9"/>
    </row>
    <row r="6158">
      <c r="J6158" s="9"/>
      <c r="K6158" s="9"/>
      <c r="L6158" s="9"/>
      <c r="M6158" s="9"/>
    </row>
    <row r="6159">
      <c r="J6159" s="9"/>
      <c r="K6159" s="9"/>
      <c r="L6159" s="9"/>
      <c r="M6159" s="9"/>
    </row>
    <row r="6160">
      <c r="J6160" s="9"/>
      <c r="K6160" s="9"/>
      <c r="L6160" s="9"/>
      <c r="M6160" s="9"/>
    </row>
    <row r="6161">
      <c r="J6161" s="9"/>
      <c r="K6161" s="9"/>
      <c r="L6161" s="9"/>
      <c r="M6161" s="9"/>
    </row>
    <row r="6162">
      <c r="J6162" s="9"/>
      <c r="K6162" s="9"/>
      <c r="L6162" s="9"/>
      <c r="M6162" s="9"/>
    </row>
    <row r="6163">
      <c r="J6163" s="9"/>
      <c r="K6163" s="9"/>
      <c r="L6163" s="9"/>
      <c r="M6163" s="9"/>
    </row>
    <row r="6164">
      <c r="J6164" s="9"/>
      <c r="K6164" s="9"/>
      <c r="L6164" s="9"/>
      <c r="M6164" s="9"/>
    </row>
    <row r="6165">
      <c r="J6165" s="9"/>
      <c r="K6165" s="9"/>
      <c r="L6165" s="9"/>
      <c r="M6165" s="9"/>
    </row>
    <row r="6166">
      <c r="J6166" s="9"/>
      <c r="K6166" s="9"/>
      <c r="L6166" s="9"/>
      <c r="M6166" s="9"/>
    </row>
    <row r="6167">
      <c r="J6167" s="9"/>
      <c r="K6167" s="9"/>
      <c r="L6167" s="9"/>
      <c r="M6167" s="9"/>
    </row>
    <row r="6168">
      <c r="J6168" s="9"/>
      <c r="K6168" s="9"/>
      <c r="L6168" s="9"/>
      <c r="M6168" s="9"/>
    </row>
    <row r="6169">
      <c r="J6169" s="9"/>
      <c r="K6169" s="9"/>
      <c r="L6169" s="9"/>
      <c r="M6169" s="9"/>
    </row>
    <row r="6170">
      <c r="J6170" s="9"/>
      <c r="K6170" s="9"/>
      <c r="L6170" s="9"/>
      <c r="M6170" s="9"/>
    </row>
    <row r="6171">
      <c r="J6171" s="9"/>
      <c r="K6171" s="9"/>
      <c r="L6171" s="9"/>
      <c r="M6171" s="9"/>
    </row>
    <row r="6172">
      <c r="J6172" s="9"/>
      <c r="K6172" s="9"/>
      <c r="L6172" s="9"/>
      <c r="M6172" s="9"/>
    </row>
    <row r="6173">
      <c r="J6173" s="9"/>
      <c r="K6173" s="9"/>
      <c r="L6173" s="9"/>
      <c r="M6173" s="9"/>
    </row>
    <row r="6174">
      <c r="J6174" s="9"/>
      <c r="K6174" s="9"/>
      <c r="L6174" s="9"/>
      <c r="M6174" s="9"/>
    </row>
    <row r="6175">
      <c r="J6175" s="9"/>
      <c r="K6175" s="9"/>
      <c r="L6175" s="9"/>
      <c r="M6175" s="9"/>
    </row>
    <row r="6176">
      <c r="J6176" s="9"/>
      <c r="K6176" s="9"/>
      <c r="L6176" s="9"/>
      <c r="M6176" s="9"/>
    </row>
    <row r="6177">
      <c r="J6177" s="9"/>
      <c r="K6177" s="9"/>
      <c r="L6177" s="9"/>
      <c r="M6177" s="9"/>
    </row>
    <row r="6178">
      <c r="J6178" s="9"/>
      <c r="K6178" s="9"/>
      <c r="L6178" s="9"/>
      <c r="M6178" s="9"/>
    </row>
    <row r="6179">
      <c r="J6179" s="9"/>
      <c r="K6179" s="9"/>
      <c r="L6179" s="9"/>
      <c r="M6179" s="9"/>
    </row>
    <row r="6180">
      <c r="J6180" s="9"/>
      <c r="K6180" s="9"/>
      <c r="L6180" s="9"/>
      <c r="M6180" s="9"/>
    </row>
    <row r="6181">
      <c r="J6181" s="9"/>
      <c r="K6181" s="9"/>
      <c r="L6181" s="9"/>
      <c r="M6181" s="9"/>
    </row>
    <row r="6182">
      <c r="J6182" s="9"/>
      <c r="K6182" s="9"/>
      <c r="L6182" s="9"/>
      <c r="M6182" s="9"/>
    </row>
    <row r="6183">
      <c r="J6183" s="9"/>
      <c r="K6183" s="9"/>
      <c r="L6183" s="9"/>
      <c r="M6183" s="9"/>
    </row>
    <row r="6184">
      <c r="J6184" s="9"/>
      <c r="K6184" s="9"/>
      <c r="L6184" s="9"/>
      <c r="M6184" s="9"/>
    </row>
    <row r="6185">
      <c r="J6185" s="9"/>
      <c r="K6185" s="9"/>
      <c r="L6185" s="9"/>
      <c r="M6185" s="9"/>
    </row>
    <row r="6186">
      <c r="J6186" s="9"/>
      <c r="K6186" s="9"/>
      <c r="L6186" s="9"/>
      <c r="M6186" s="9"/>
    </row>
    <row r="6187">
      <c r="J6187" s="9"/>
      <c r="K6187" s="9"/>
      <c r="L6187" s="9"/>
      <c r="M6187" s="9"/>
    </row>
    <row r="6188">
      <c r="J6188" s="9"/>
      <c r="K6188" s="9"/>
      <c r="L6188" s="9"/>
      <c r="M6188" s="9"/>
    </row>
    <row r="6189">
      <c r="J6189" s="9"/>
      <c r="K6189" s="9"/>
      <c r="L6189" s="9"/>
      <c r="M6189" s="9"/>
    </row>
    <row r="6190">
      <c r="J6190" s="9"/>
      <c r="K6190" s="9"/>
      <c r="L6190" s="9"/>
      <c r="M6190" s="9"/>
    </row>
    <row r="6191">
      <c r="J6191" s="9"/>
      <c r="K6191" s="9"/>
      <c r="L6191" s="9"/>
      <c r="M6191" s="9"/>
    </row>
    <row r="6192">
      <c r="J6192" s="9"/>
      <c r="K6192" s="9"/>
      <c r="L6192" s="9"/>
      <c r="M6192" s="9"/>
    </row>
    <row r="6193">
      <c r="J6193" s="9"/>
      <c r="K6193" s="9"/>
      <c r="L6193" s="9"/>
      <c r="M6193" s="9"/>
    </row>
    <row r="6194">
      <c r="J6194" s="9"/>
      <c r="K6194" s="9"/>
      <c r="L6194" s="9"/>
      <c r="M6194" s="9"/>
    </row>
    <row r="6195">
      <c r="J6195" s="9"/>
      <c r="K6195" s="9"/>
      <c r="L6195" s="9"/>
      <c r="M6195" s="9"/>
    </row>
    <row r="6196">
      <c r="J6196" s="9"/>
      <c r="K6196" s="9"/>
      <c r="L6196" s="9"/>
      <c r="M6196" s="9"/>
    </row>
    <row r="6197">
      <c r="J6197" s="9"/>
      <c r="K6197" s="9"/>
      <c r="L6197" s="9"/>
      <c r="M6197" s="9"/>
    </row>
    <row r="6198">
      <c r="J6198" s="9"/>
      <c r="K6198" s="9"/>
      <c r="L6198" s="9"/>
      <c r="M6198" s="9"/>
    </row>
    <row r="6199">
      <c r="J6199" s="9"/>
      <c r="K6199" s="9"/>
      <c r="L6199" s="9"/>
      <c r="M6199" s="9"/>
    </row>
    <row r="6200">
      <c r="J6200" s="9"/>
      <c r="K6200" s="9"/>
      <c r="L6200" s="9"/>
      <c r="M6200" s="9"/>
    </row>
    <row r="6201">
      <c r="J6201" s="9"/>
      <c r="K6201" s="9"/>
      <c r="L6201" s="9"/>
      <c r="M6201" s="9"/>
    </row>
    <row r="6202">
      <c r="J6202" s="9"/>
      <c r="K6202" s="9"/>
      <c r="L6202" s="9"/>
      <c r="M6202" s="9"/>
    </row>
    <row r="6203">
      <c r="J6203" s="9"/>
      <c r="K6203" s="9"/>
      <c r="L6203" s="9"/>
      <c r="M6203" s="9"/>
    </row>
    <row r="6204">
      <c r="J6204" s="9"/>
      <c r="K6204" s="9"/>
      <c r="L6204" s="9"/>
      <c r="M6204" s="9"/>
    </row>
    <row r="6205">
      <c r="J6205" s="9"/>
      <c r="K6205" s="9"/>
      <c r="L6205" s="9"/>
      <c r="M6205" s="9"/>
    </row>
    <row r="6206">
      <c r="J6206" s="9"/>
      <c r="K6206" s="9"/>
      <c r="L6206" s="9"/>
      <c r="M6206" s="9"/>
    </row>
    <row r="6207">
      <c r="J6207" s="9"/>
      <c r="K6207" s="9"/>
      <c r="L6207" s="9"/>
      <c r="M6207" s="9"/>
    </row>
    <row r="6208">
      <c r="J6208" s="9"/>
      <c r="K6208" s="9"/>
      <c r="L6208" s="9"/>
      <c r="M6208" s="9"/>
    </row>
    <row r="6209">
      <c r="J6209" s="9"/>
      <c r="K6209" s="9"/>
      <c r="L6209" s="9"/>
      <c r="M6209" s="9"/>
    </row>
    <row r="6210">
      <c r="J6210" s="9"/>
      <c r="K6210" s="9"/>
      <c r="L6210" s="9"/>
      <c r="M6210" s="9"/>
    </row>
    <row r="6211">
      <c r="J6211" s="9"/>
      <c r="K6211" s="9"/>
      <c r="L6211" s="9"/>
      <c r="M6211" s="9"/>
    </row>
    <row r="6212">
      <c r="J6212" s="9"/>
      <c r="K6212" s="9"/>
      <c r="L6212" s="9"/>
      <c r="M6212" s="9"/>
    </row>
    <row r="6213">
      <c r="J6213" s="9"/>
      <c r="K6213" s="9"/>
      <c r="L6213" s="9"/>
      <c r="M6213" s="9"/>
    </row>
    <row r="6214">
      <c r="J6214" s="9"/>
      <c r="K6214" s="9"/>
      <c r="L6214" s="9"/>
      <c r="M6214" s="9"/>
    </row>
    <row r="6215">
      <c r="J6215" s="9"/>
      <c r="K6215" s="9"/>
      <c r="L6215" s="9"/>
      <c r="M6215" s="9"/>
    </row>
    <row r="6216">
      <c r="J6216" s="9"/>
      <c r="K6216" s="9"/>
      <c r="L6216" s="9"/>
      <c r="M6216" s="9"/>
    </row>
    <row r="6217">
      <c r="J6217" s="9"/>
      <c r="K6217" s="9"/>
      <c r="L6217" s="9"/>
      <c r="M6217" s="9"/>
    </row>
    <row r="6218">
      <c r="J6218" s="9"/>
      <c r="K6218" s="9"/>
      <c r="L6218" s="9"/>
      <c r="M6218" s="9"/>
    </row>
    <row r="6219">
      <c r="J6219" s="9"/>
      <c r="K6219" s="9"/>
      <c r="L6219" s="9"/>
      <c r="M6219" s="9"/>
    </row>
    <row r="6220">
      <c r="J6220" s="9"/>
      <c r="K6220" s="9"/>
      <c r="L6220" s="9"/>
      <c r="M6220" s="9"/>
    </row>
    <row r="6221">
      <c r="J6221" s="9"/>
      <c r="K6221" s="9"/>
      <c r="L6221" s="9"/>
      <c r="M6221" s="9"/>
    </row>
    <row r="6222">
      <c r="J6222" s="9"/>
      <c r="K6222" s="9"/>
      <c r="L6222" s="9"/>
      <c r="M6222" s="9"/>
    </row>
    <row r="6223">
      <c r="J6223" s="9"/>
      <c r="K6223" s="9"/>
      <c r="L6223" s="9"/>
      <c r="M6223" s="9"/>
    </row>
    <row r="6224">
      <c r="J6224" s="9"/>
      <c r="K6224" s="9"/>
      <c r="L6224" s="9"/>
      <c r="M6224" s="9"/>
    </row>
    <row r="6225">
      <c r="J6225" s="9"/>
      <c r="K6225" s="9"/>
      <c r="L6225" s="9"/>
      <c r="M6225" s="9"/>
    </row>
    <row r="6226">
      <c r="J6226" s="9"/>
      <c r="K6226" s="9"/>
      <c r="L6226" s="9"/>
      <c r="M6226" s="9"/>
    </row>
    <row r="6227">
      <c r="J6227" s="9"/>
      <c r="K6227" s="9"/>
      <c r="L6227" s="9"/>
      <c r="M6227" s="9"/>
    </row>
    <row r="6228">
      <c r="J6228" s="9"/>
      <c r="K6228" s="9"/>
      <c r="L6228" s="9"/>
      <c r="M6228" s="9"/>
    </row>
    <row r="6229">
      <c r="J6229" s="9"/>
      <c r="K6229" s="9"/>
      <c r="L6229" s="9"/>
      <c r="M6229" s="9"/>
    </row>
    <row r="6230">
      <c r="J6230" s="9"/>
      <c r="K6230" s="9"/>
      <c r="L6230" s="9"/>
      <c r="M6230" s="9"/>
    </row>
    <row r="6231">
      <c r="J6231" s="9"/>
      <c r="K6231" s="9"/>
      <c r="L6231" s="9"/>
      <c r="M6231" s="9"/>
    </row>
    <row r="6232">
      <c r="J6232" s="9"/>
      <c r="K6232" s="9"/>
      <c r="L6232" s="9"/>
      <c r="M6232" s="9"/>
    </row>
    <row r="6233">
      <c r="J6233" s="9"/>
      <c r="K6233" s="9"/>
      <c r="L6233" s="9"/>
      <c r="M6233" s="9"/>
    </row>
    <row r="6234">
      <c r="J6234" s="9"/>
      <c r="K6234" s="9"/>
      <c r="L6234" s="9"/>
      <c r="M6234" s="9"/>
    </row>
    <row r="6235">
      <c r="J6235" s="9"/>
      <c r="K6235" s="9"/>
      <c r="L6235" s="9"/>
      <c r="M6235" s="9"/>
    </row>
    <row r="6236">
      <c r="J6236" s="9"/>
      <c r="K6236" s="9"/>
      <c r="L6236" s="9"/>
      <c r="M6236" s="9"/>
    </row>
    <row r="6237">
      <c r="J6237" s="9"/>
      <c r="K6237" s="9"/>
      <c r="L6237" s="9"/>
      <c r="M6237" s="9"/>
    </row>
    <row r="6238">
      <c r="J6238" s="9"/>
      <c r="K6238" s="9"/>
      <c r="L6238" s="9"/>
      <c r="M6238" s="9"/>
    </row>
    <row r="6239">
      <c r="J6239" s="9"/>
      <c r="K6239" s="9"/>
      <c r="L6239" s="9"/>
      <c r="M6239" s="9"/>
    </row>
    <row r="6240">
      <c r="J6240" s="9"/>
      <c r="K6240" s="9"/>
      <c r="L6240" s="9"/>
      <c r="M6240" s="9"/>
    </row>
    <row r="6241">
      <c r="J6241" s="9"/>
      <c r="K6241" s="9"/>
      <c r="L6241" s="9"/>
      <c r="M6241" s="9"/>
    </row>
    <row r="6242">
      <c r="J6242" s="9"/>
      <c r="K6242" s="9"/>
      <c r="L6242" s="9"/>
      <c r="M6242" s="9"/>
    </row>
    <row r="6243">
      <c r="J6243" s="9"/>
      <c r="K6243" s="9"/>
      <c r="L6243" s="9"/>
      <c r="M6243" s="9"/>
    </row>
    <row r="6244">
      <c r="J6244" s="9"/>
      <c r="K6244" s="9"/>
      <c r="L6244" s="9"/>
      <c r="M6244" s="9"/>
    </row>
    <row r="6245">
      <c r="J6245" s="9"/>
      <c r="K6245" s="9"/>
      <c r="L6245" s="9"/>
      <c r="M6245" s="9"/>
    </row>
    <row r="6246">
      <c r="J6246" s="9"/>
      <c r="K6246" s="9"/>
      <c r="L6246" s="9"/>
      <c r="M6246" s="9"/>
    </row>
    <row r="6247">
      <c r="J6247" s="9"/>
      <c r="K6247" s="9"/>
      <c r="L6247" s="9"/>
      <c r="M6247" s="9"/>
    </row>
    <row r="6248">
      <c r="J6248" s="9"/>
      <c r="K6248" s="9"/>
      <c r="L6248" s="9"/>
      <c r="M6248" s="9"/>
    </row>
    <row r="6249">
      <c r="J6249" s="9"/>
      <c r="K6249" s="9"/>
      <c r="L6249" s="9"/>
      <c r="M6249" s="9"/>
    </row>
    <row r="6250">
      <c r="J6250" s="9"/>
      <c r="K6250" s="9"/>
      <c r="L6250" s="9"/>
      <c r="M6250" s="9"/>
    </row>
    <row r="6251">
      <c r="J6251" s="9"/>
      <c r="K6251" s="9"/>
      <c r="L6251" s="9"/>
      <c r="M6251" s="9"/>
    </row>
    <row r="6252">
      <c r="J6252" s="9"/>
      <c r="K6252" s="9"/>
      <c r="L6252" s="9"/>
      <c r="M6252" s="9"/>
    </row>
    <row r="6253">
      <c r="J6253" s="9"/>
      <c r="K6253" s="9"/>
      <c r="L6253" s="9"/>
      <c r="M6253" s="9"/>
    </row>
    <row r="6254">
      <c r="J6254" s="9"/>
      <c r="K6254" s="9"/>
      <c r="L6254" s="9"/>
      <c r="M6254" s="9"/>
    </row>
    <row r="6255">
      <c r="J6255" s="9"/>
      <c r="K6255" s="9"/>
      <c r="L6255" s="9"/>
      <c r="M6255" s="9"/>
    </row>
    <row r="6256">
      <c r="J6256" s="9"/>
      <c r="K6256" s="9"/>
      <c r="L6256" s="9"/>
      <c r="M6256" s="9"/>
    </row>
    <row r="6257">
      <c r="J6257" s="9"/>
      <c r="K6257" s="9"/>
      <c r="L6257" s="9"/>
      <c r="M6257" s="9"/>
    </row>
    <row r="6258">
      <c r="J6258" s="9"/>
      <c r="K6258" s="9"/>
      <c r="L6258" s="9"/>
      <c r="M6258" s="9"/>
    </row>
    <row r="6259">
      <c r="J6259" s="9"/>
      <c r="K6259" s="9"/>
      <c r="L6259" s="9"/>
      <c r="M6259" s="9"/>
    </row>
    <row r="6260">
      <c r="J6260" s="9"/>
      <c r="K6260" s="9"/>
      <c r="L6260" s="9"/>
      <c r="M6260" s="9"/>
    </row>
    <row r="6261">
      <c r="J6261" s="9"/>
      <c r="K6261" s="9"/>
      <c r="L6261" s="9"/>
      <c r="M6261" s="9"/>
    </row>
    <row r="6262">
      <c r="J6262" s="9"/>
      <c r="K6262" s="9"/>
      <c r="L6262" s="9"/>
      <c r="M6262" s="9"/>
    </row>
    <row r="6263">
      <c r="J6263" s="9"/>
      <c r="K6263" s="9"/>
      <c r="L6263" s="9"/>
      <c r="M6263" s="9"/>
    </row>
    <row r="6264">
      <c r="J6264" s="9"/>
      <c r="K6264" s="9"/>
      <c r="L6264" s="9"/>
      <c r="M6264" s="9"/>
    </row>
    <row r="6265">
      <c r="J6265" s="9"/>
      <c r="K6265" s="9"/>
      <c r="L6265" s="9"/>
      <c r="M6265" s="9"/>
    </row>
    <row r="6266">
      <c r="J6266" s="9"/>
      <c r="K6266" s="9"/>
      <c r="L6266" s="9"/>
      <c r="M6266" s="9"/>
    </row>
    <row r="6267">
      <c r="J6267" s="9"/>
      <c r="K6267" s="9"/>
      <c r="L6267" s="9"/>
      <c r="M6267" s="9"/>
    </row>
    <row r="6268">
      <c r="J6268" s="9"/>
      <c r="K6268" s="9"/>
      <c r="L6268" s="9"/>
      <c r="M6268" s="9"/>
    </row>
    <row r="6269">
      <c r="J6269" s="9"/>
      <c r="K6269" s="9"/>
      <c r="L6269" s="9"/>
      <c r="M6269" s="9"/>
    </row>
    <row r="6270">
      <c r="J6270" s="9"/>
      <c r="K6270" s="9"/>
      <c r="L6270" s="9"/>
      <c r="M6270" s="9"/>
    </row>
    <row r="6271">
      <c r="J6271" s="9"/>
      <c r="K6271" s="9"/>
      <c r="L6271" s="9"/>
      <c r="M6271" s="9"/>
    </row>
    <row r="6272">
      <c r="J6272" s="9"/>
      <c r="K6272" s="9"/>
      <c r="L6272" s="9"/>
      <c r="M6272" s="9"/>
    </row>
    <row r="6273">
      <c r="J6273" s="9"/>
      <c r="K6273" s="9"/>
      <c r="L6273" s="9"/>
      <c r="M6273" s="9"/>
    </row>
    <row r="6274">
      <c r="J6274" s="9"/>
      <c r="K6274" s="9"/>
      <c r="L6274" s="9"/>
      <c r="M6274" s="9"/>
    </row>
    <row r="6275">
      <c r="J6275" s="9"/>
      <c r="K6275" s="9"/>
      <c r="L6275" s="9"/>
      <c r="M6275" s="9"/>
    </row>
    <row r="6276">
      <c r="J6276" s="9"/>
      <c r="K6276" s="9"/>
      <c r="L6276" s="9"/>
      <c r="M6276" s="9"/>
    </row>
    <row r="6277">
      <c r="J6277" s="9"/>
      <c r="K6277" s="9"/>
      <c r="L6277" s="9"/>
      <c r="M6277" s="9"/>
    </row>
    <row r="6278">
      <c r="J6278" s="9"/>
      <c r="K6278" s="9"/>
      <c r="L6278" s="9"/>
      <c r="M6278" s="9"/>
    </row>
    <row r="6279">
      <c r="J6279" s="9"/>
      <c r="K6279" s="9"/>
      <c r="L6279" s="9"/>
      <c r="M6279" s="9"/>
    </row>
    <row r="6280">
      <c r="J6280" s="9"/>
      <c r="K6280" s="9"/>
      <c r="L6280" s="9"/>
      <c r="M6280" s="9"/>
    </row>
    <row r="6281">
      <c r="J6281" s="9"/>
      <c r="K6281" s="9"/>
      <c r="L6281" s="9"/>
      <c r="M6281" s="9"/>
    </row>
    <row r="6282">
      <c r="J6282" s="9"/>
      <c r="K6282" s="9"/>
      <c r="L6282" s="9"/>
      <c r="M6282" s="9"/>
    </row>
    <row r="6283">
      <c r="J6283" s="9"/>
      <c r="K6283" s="9"/>
      <c r="L6283" s="9"/>
      <c r="M6283" s="9"/>
    </row>
    <row r="6284">
      <c r="J6284" s="9"/>
      <c r="K6284" s="9"/>
      <c r="L6284" s="9"/>
      <c r="M6284" s="9"/>
    </row>
    <row r="6285">
      <c r="J6285" s="9"/>
      <c r="K6285" s="9"/>
      <c r="L6285" s="9"/>
      <c r="M6285" s="9"/>
    </row>
    <row r="6286">
      <c r="J6286" s="9"/>
      <c r="K6286" s="9"/>
      <c r="L6286" s="9"/>
      <c r="M6286" s="9"/>
    </row>
    <row r="6287">
      <c r="J6287" s="9"/>
      <c r="K6287" s="9"/>
      <c r="L6287" s="9"/>
      <c r="M6287" s="9"/>
    </row>
    <row r="6288">
      <c r="J6288" s="9"/>
      <c r="K6288" s="9"/>
      <c r="L6288" s="9"/>
      <c r="M6288" s="9"/>
    </row>
    <row r="6289">
      <c r="J6289" s="9"/>
      <c r="K6289" s="9"/>
      <c r="L6289" s="9"/>
      <c r="M6289" s="9"/>
    </row>
    <row r="6290">
      <c r="J6290" s="9"/>
      <c r="K6290" s="9"/>
      <c r="L6290" s="9"/>
      <c r="M6290" s="9"/>
    </row>
    <row r="6291">
      <c r="J6291" s="9"/>
      <c r="K6291" s="9"/>
      <c r="L6291" s="9"/>
      <c r="M6291" s="9"/>
    </row>
    <row r="6292">
      <c r="J6292" s="9"/>
      <c r="K6292" s="9"/>
      <c r="L6292" s="9"/>
      <c r="M6292" s="9"/>
    </row>
    <row r="6293">
      <c r="J6293" s="9"/>
      <c r="K6293" s="9"/>
      <c r="L6293" s="9"/>
      <c r="M6293" s="9"/>
    </row>
    <row r="6294">
      <c r="J6294" s="9"/>
      <c r="K6294" s="9"/>
      <c r="L6294" s="9"/>
      <c r="M6294" s="9"/>
    </row>
    <row r="6295">
      <c r="J6295" s="9"/>
      <c r="K6295" s="9"/>
      <c r="L6295" s="9"/>
      <c r="M6295" s="9"/>
    </row>
    <row r="6296">
      <c r="J6296" s="9"/>
      <c r="K6296" s="9"/>
      <c r="L6296" s="9"/>
      <c r="M6296" s="9"/>
    </row>
    <row r="6297">
      <c r="J6297" s="9"/>
      <c r="K6297" s="9"/>
      <c r="L6297" s="9"/>
      <c r="M6297" s="9"/>
    </row>
    <row r="6298">
      <c r="J6298" s="9"/>
      <c r="K6298" s="9"/>
      <c r="L6298" s="9"/>
      <c r="M6298" s="9"/>
    </row>
    <row r="6299">
      <c r="J6299" s="9"/>
      <c r="K6299" s="9"/>
      <c r="L6299" s="9"/>
      <c r="M6299" s="9"/>
    </row>
    <row r="6300">
      <c r="J6300" s="9"/>
      <c r="K6300" s="9"/>
      <c r="L6300" s="9"/>
      <c r="M6300" s="9"/>
    </row>
    <row r="6301">
      <c r="J6301" s="9"/>
      <c r="K6301" s="9"/>
      <c r="L6301" s="9"/>
      <c r="M6301" s="9"/>
    </row>
    <row r="6302">
      <c r="J6302" s="9"/>
      <c r="K6302" s="9"/>
      <c r="L6302" s="9"/>
      <c r="M6302" s="9"/>
    </row>
    <row r="6303">
      <c r="J6303" s="9"/>
      <c r="K6303" s="9"/>
      <c r="L6303" s="9"/>
      <c r="M6303" s="9"/>
    </row>
    <row r="6304">
      <c r="J6304" s="9"/>
      <c r="K6304" s="9"/>
      <c r="L6304" s="9"/>
      <c r="M6304" s="9"/>
    </row>
    <row r="6305">
      <c r="J6305" s="9"/>
      <c r="K6305" s="9"/>
      <c r="L6305" s="9"/>
      <c r="M6305" s="9"/>
    </row>
    <row r="6306">
      <c r="J6306" s="9"/>
      <c r="K6306" s="9"/>
      <c r="L6306" s="9"/>
      <c r="M6306" s="9"/>
    </row>
    <row r="6307">
      <c r="J6307" s="9"/>
      <c r="K6307" s="9"/>
      <c r="L6307" s="9"/>
      <c r="M6307" s="9"/>
    </row>
    <row r="6308">
      <c r="J6308" s="9"/>
      <c r="K6308" s="9"/>
      <c r="L6308" s="9"/>
      <c r="M6308" s="9"/>
    </row>
    <row r="6309">
      <c r="J6309" s="9"/>
      <c r="K6309" s="9"/>
      <c r="L6309" s="9"/>
      <c r="M6309" s="9"/>
    </row>
    <row r="6310">
      <c r="J6310" s="9"/>
      <c r="K6310" s="9"/>
      <c r="L6310" s="9"/>
      <c r="M6310" s="9"/>
    </row>
    <row r="6311">
      <c r="J6311" s="9"/>
      <c r="K6311" s="9"/>
      <c r="L6311" s="9"/>
      <c r="M6311" s="9"/>
    </row>
    <row r="6312">
      <c r="J6312" s="9"/>
      <c r="K6312" s="9"/>
      <c r="L6312" s="9"/>
      <c r="M6312" s="9"/>
    </row>
    <row r="6313">
      <c r="J6313" s="9"/>
      <c r="K6313" s="9"/>
      <c r="L6313" s="9"/>
      <c r="M6313" s="9"/>
    </row>
    <row r="6314">
      <c r="J6314" s="9"/>
      <c r="K6314" s="9"/>
      <c r="L6314" s="9"/>
      <c r="M6314" s="9"/>
    </row>
    <row r="6315">
      <c r="J6315" s="9"/>
      <c r="K6315" s="9"/>
      <c r="L6315" s="9"/>
      <c r="M6315" s="9"/>
    </row>
    <row r="6316">
      <c r="J6316" s="9"/>
      <c r="K6316" s="9"/>
      <c r="L6316" s="9"/>
      <c r="M6316" s="9"/>
    </row>
    <row r="6317">
      <c r="J6317" s="9"/>
      <c r="K6317" s="9"/>
      <c r="L6317" s="9"/>
      <c r="M6317" s="9"/>
    </row>
    <row r="6318">
      <c r="J6318" s="9"/>
      <c r="K6318" s="9"/>
      <c r="L6318" s="9"/>
      <c r="M6318" s="9"/>
    </row>
    <row r="6319">
      <c r="J6319" s="9"/>
      <c r="K6319" s="9"/>
      <c r="L6319" s="9"/>
      <c r="M6319" s="9"/>
    </row>
    <row r="6320">
      <c r="J6320" s="9"/>
      <c r="K6320" s="9"/>
      <c r="L6320" s="9"/>
      <c r="M6320" s="9"/>
    </row>
    <row r="6321">
      <c r="J6321" s="9"/>
      <c r="K6321" s="9"/>
      <c r="L6321" s="9"/>
      <c r="M6321" s="9"/>
    </row>
    <row r="6322">
      <c r="J6322" s="9"/>
      <c r="K6322" s="9"/>
      <c r="L6322" s="9"/>
      <c r="M6322" s="9"/>
    </row>
    <row r="6323">
      <c r="J6323" s="9"/>
      <c r="K6323" s="9"/>
      <c r="L6323" s="9"/>
      <c r="M6323" s="9"/>
    </row>
    <row r="6324">
      <c r="J6324" s="9"/>
      <c r="K6324" s="9"/>
      <c r="L6324" s="9"/>
      <c r="M6324" s="9"/>
    </row>
    <row r="6325">
      <c r="J6325" s="9"/>
      <c r="K6325" s="9"/>
      <c r="L6325" s="9"/>
      <c r="M6325" s="9"/>
    </row>
    <row r="6326">
      <c r="J6326" s="9"/>
      <c r="K6326" s="9"/>
      <c r="L6326" s="9"/>
      <c r="M6326" s="9"/>
    </row>
    <row r="6327">
      <c r="J6327" s="9"/>
      <c r="K6327" s="9"/>
      <c r="L6327" s="9"/>
      <c r="M6327" s="9"/>
    </row>
    <row r="6328">
      <c r="J6328" s="9"/>
      <c r="K6328" s="9"/>
      <c r="L6328" s="9"/>
      <c r="M6328" s="9"/>
    </row>
    <row r="6329">
      <c r="J6329" s="9"/>
      <c r="K6329" s="9"/>
      <c r="L6329" s="9"/>
      <c r="M6329" s="9"/>
    </row>
    <row r="6330">
      <c r="J6330" s="9"/>
      <c r="K6330" s="9"/>
      <c r="L6330" s="9"/>
      <c r="M6330" s="9"/>
    </row>
    <row r="6331">
      <c r="J6331" s="9"/>
      <c r="K6331" s="9"/>
      <c r="L6331" s="9"/>
      <c r="M6331" s="9"/>
    </row>
    <row r="6332">
      <c r="J6332" s="9"/>
      <c r="K6332" s="9"/>
      <c r="L6332" s="9"/>
      <c r="M6332" s="9"/>
    </row>
    <row r="6333">
      <c r="J6333" s="9"/>
      <c r="K6333" s="9"/>
      <c r="L6333" s="9"/>
      <c r="M6333" s="9"/>
    </row>
    <row r="6334">
      <c r="J6334" s="9"/>
      <c r="K6334" s="9"/>
      <c r="L6334" s="9"/>
      <c r="M6334" s="9"/>
    </row>
    <row r="6335">
      <c r="J6335" s="9"/>
      <c r="K6335" s="9"/>
      <c r="L6335" s="9"/>
      <c r="M6335" s="9"/>
    </row>
    <row r="6336">
      <c r="J6336" s="9"/>
      <c r="K6336" s="9"/>
      <c r="L6336" s="9"/>
      <c r="M6336" s="9"/>
    </row>
    <row r="6337">
      <c r="J6337" s="9"/>
      <c r="K6337" s="9"/>
      <c r="L6337" s="9"/>
      <c r="M6337" s="9"/>
    </row>
    <row r="6338">
      <c r="J6338" s="9"/>
      <c r="K6338" s="9"/>
      <c r="L6338" s="9"/>
      <c r="M6338" s="9"/>
    </row>
    <row r="6339">
      <c r="J6339" s="9"/>
      <c r="K6339" s="9"/>
      <c r="L6339" s="9"/>
      <c r="M6339" s="9"/>
    </row>
    <row r="6340">
      <c r="J6340" s="9"/>
      <c r="K6340" s="9"/>
      <c r="L6340" s="9"/>
      <c r="M6340" s="9"/>
    </row>
    <row r="6341">
      <c r="J6341" s="9"/>
      <c r="K6341" s="9"/>
      <c r="L6341" s="9"/>
      <c r="M6341" s="9"/>
    </row>
    <row r="6342">
      <c r="J6342" s="9"/>
      <c r="K6342" s="9"/>
      <c r="L6342" s="9"/>
      <c r="M6342" s="9"/>
    </row>
    <row r="6343">
      <c r="J6343" s="9"/>
      <c r="K6343" s="9"/>
      <c r="L6343" s="9"/>
      <c r="M6343" s="9"/>
    </row>
    <row r="6344">
      <c r="J6344" s="9"/>
      <c r="K6344" s="9"/>
      <c r="L6344" s="9"/>
      <c r="M6344" s="9"/>
    </row>
    <row r="6345">
      <c r="J6345" s="9"/>
      <c r="K6345" s="9"/>
      <c r="L6345" s="9"/>
      <c r="M6345" s="9"/>
    </row>
    <row r="6346">
      <c r="J6346" s="9"/>
      <c r="K6346" s="9"/>
      <c r="L6346" s="9"/>
      <c r="M6346" s="9"/>
    </row>
    <row r="6347">
      <c r="J6347" s="9"/>
      <c r="K6347" s="9"/>
      <c r="L6347" s="9"/>
      <c r="M6347" s="9"/>
    </row>
    <row r="6348">
      <c r="J6348" s="9"/>
      <c r="K6348" s="9"/>
      <c r="L6348" s="9"/>
      <c r="M6348" s="9"/>
    </row>
    <row r="6349">
      <c r="J6349" s="9"/>
      <c r="K6349" s="9"/>
      <c r="L6349" s="9"/>
      <c r="M6349" s="9"/>
    </row>
    <row r="6350">
      <c r="J6350" s="9"/>
      <c r="K6350" s="9"/>
      <c r="L6350" s="9"/>
      <c r="M6350" s="9"/>
    </row>
    <row r="6351">
      <c r="J6351" s="9"/>
      <c r="K6351" s="9"/>
      <c r="L6351" s="9"/>
      <c r="M6351" s="9"/>
    </row>
    <row r="6352">
      <c r="J6352" s="9"/>
      <c r="K6352" s="9"/>
      <c r="L6352" s="9"/>
      <c r="M6352" s="9"/>
    </row>
    <row r="6353">
      <c r="J6353" s="9"/>
      <c r="K6353" s="9"/>
      <c r="L6353" s="9"/>
      <c r="M6353" s="9"/>
    </row>
    <row r="6354">
      <c r="J6354" s="9"/>
      <c r="K6354" s="9"/>
      <c r="L6354" s="9"/>
      <c r="M6354" s="9"/>
    </row>
    <row r="6355">
      <c r="J6355" s="9"/>
      <c r="K6355" s="9"/>
      <c r="L6355" s="9"/>
      <c r="M6355" s="9"/>
    </row>
    <row r="6356">
      <c r="J6356" s="9"/>
      <c r="K6356" s="9"/>
      <c r="L6356" s="9"/>
      <c r="M6356" s="9"/>
    </row>
    <row r="6357">
      <c r="J6357" s="9"/>
      <c r="K6357" s="9"/>
      <c r="L6357" s="9"/>
      <c r="M6357" s="9"/>
    </row>
    <row r="6358">
      <c r="J6358" s="9"/>
      <c r="K6358" s="9"/>
      <c r="L6358" s="9"/>
      <c r="M6358" s="9"/>
    </row>
    <row r="6359">
      <c r="J6359" s="9"/>
      <c r="K6359" s="9"/>
      <c r="L6359" s="9"/>
      <c r="M6359" s="9"/>
    </row>
    <row r="6360">
      <c r="J6360" s="9"/>
      <c r="K6360" s="9"/>
      <c r="L6360" s="9"/>
      <c r="M6360" s="9"/>
    </row>
    <row r="6361">
      <c r="J6361" s="9"/>
      <c r="K6361" s="9"/>
      <c r="L6361" s="9"/>
      <c r="M6361" s="9"/>
    </row>
    <row r="6362">
      <c r="J6362" s="9"/>
      <c r="K6362" s="9"/>
      <c r="L6362" s="9"/>
      <c r="M6362" s="9"/>
    </row>
    <row r="6363">
      <c r="J6363" s="9"/>
      <c r="K6363" s="9"/>
      <c r="L6363" s="9"/>
      <c r="M6363" s="9"/>
    </row>
    <row r="6364">
      <c r="J6364" s="9"/>
      <c r="K6364" s="9"/>
      <c r="L6364" s="9"/>
      <c r="M6364" s="9"/>
    </row>
    <row r="6365">
      <c r="J6365" s="9"/>
      <c r="K6365" s="9"/>
      <c r="L6365" s="9"/>
      <c r="M6365" s="9"/>
    </row>
    <row r="6366">
      <c r="J6366" s="9"/>
      <c r="K6366" s="9"/>
      <c r="L6366" s="9"/>
      <c r="M6366" s="9"/>
    </row>
    <row r="6367">
      <c r="J6367" s="9"/>
      <c r="K6367" s="9"/>
      <c r="L6367" s="9"/>
      <c r="M6367" s="9"/>
    </row>
    <row r="6368">
      <c r="J6368" s="9"/>
      <c r="K6368" s="9"/>
      <c r="L6368" s="9"/>
      <c r="M6368" s="9"/>
    </row>
    <row r="6369">
      <c r="J6369" s="9"/>
      <c r="K6369" s="9"/>
      <c r="L6369" s="9"/>
      <c r="M6369" s="9"/>
    </row>
    <row r="6370">
      <c r="J6370" s="9"/>
      <c r="K6370" s="9"/>
      <c r="L6370" s="9"/>
      <c r="M6370" s="9"/>
    </row>
    <row r="6371">
      <c r="J6371" s="9"/>
      <c r="K6371" s="9"/>
      <c r="L6371" s="9"/>
      <c r="M6371" s="9"/>
    </row>
    <row r="6372">
      <c r="J6372" s="9"/>
      <c r="K6372" s="9"/>
      <c r="L6372" s="9"/>
      <c r="M6372" s="9"/>
    </row>
    <row r="6373">
      <c r="J6373" s="9"/>
      <c r="K6373" s="9"/>
      <c r="L6373" s="9"/>
      <c r="M6373" s="9"/>
    </row>
    <row r="6374">
      <c r="J6374" s="9"/>
      <c r="K6374" s="9"/>
      <c r="L6374" s="9"/>
      <c r="M6374" s="9"/>
    </row>
    <row r="6375">
      <c r="J6375" s="9"/>
      <c r="K6375" s="9"/>
      <c r="L6375" s="9"/>
      <c r="M6375" s="9"/>
    </row>
    <row r="6376">
      <c r="J6376" s="9"/>
      <c r="K6376" s="9"/>
      <c r="L6376" s="9"/>
      <c r="M6376" s="9"/>
    </row>
    <row r="6377">
      <c r="J6377" s="9"/>
      <c r="K6377" s="9"/>
      <c r="L6377" s="9"/>
      <c r="M6377" s="9"/>
    </row>
    <row r="6378">
      <c r="J6378" s="9"/>
      <c r="K6378" s="9"/>
      <c r="L6378" s="9"/>
      <c r="M6378" s="9"/>
    </row>
    <row r="6379">
      <c r="J6379" s="9"/>
      <c r="K6379" s="9"/>
      <c r="L6379" s="9"/>
      <c r="M6379" s="9"/>
    </row>
    <row r="6380">
      <c r="J6380" s="9"/>
      <c r="K6380" s="9"/>
      <c r="L6380" s="9"/>
      <c r="M6380" s="9"/>
    </row>
    <row r="6381">
      <c r="J6381" s="9"/>
      <c r="K6381" s="9"/>
      <c r="L6381" s="9"/>
      <c r="M6381" s="9"/>
    </row>
    <row r="6382">
      <c r="J6382" s="9"/>
      <c r="K6382" s="9"/>
      <c r="L6382" s="9"/>
      <c r="M6382" s="9"/>
    </row>
    <row r="6383">
      <c r="J6383" s="9"/>
      <c r="K6383" s="9"/>
      <c r="L6383" s="9"/>
      <c r="M6383" s="9"/>
    </row>
    <row r="6384">
      <c r="J6384" s="9"/>
      <c r="K6384" s="9"/>
      <c r="L6384" s="9"/>
      <c r="M6384" s="9"/>
    </row>
    <row r="6385">
      <c r="J6385" s="9"/>
      <c r="K6385" s="9"/>
      <c r="L6385" s="9"/>
      <c r="M6385" s="9"/>
    </row>
    <row r="6386">
      <c r="J6386" s="9"/>
      <c r="K6386" s="9"/>
      <c r="L6386" s="9"/>
      <c r="M6386" s="9"/>
    </row>
    <row r="6387">
      <c r="J6387" s="9"/>
      <c r="K6387" s="9"/>
      <c r="L6387" s="9"/>
      <c r="M6387" s="9"/>
    </row>
    <row r="6388">
      <c r="J6388" s="9"/>
      <c r="K6388" s="9"/>
      <c r="L6388" s="9"/>
      <c r="M6388" s="9"/>
    </row>
    <row r="6389">
      <c r="J6389" s="9"/>
      <c r="K6389" s="9"/>
      <c r="L6389" s="9"/>
      <c r="M6389" s="9"/>
    </row>
    <row r="6390">
      <c r="J6390" s="9"/>
      <c r="K6390" s="9"/>
      <c r="L6390" s="9"/>
      <c r="M6390" s="9"/>
    </row>
    <row r="6391">
      <c r="J6391" s="9"/>
      <c r="K6391" s="9"/>
      <c r="L6391" s="9"/>
      <c r="M6391" s="9"/>
    </row>
    <row r="6392">
      <c r="J6392" s="9"/>
      <c r="K6392" s="9"/>
      <c r="L6392" s="9"/>
      <c r="M6392" s="9"/>
    </row>
    <row r="6393">
      <c r="J6393" s="9"/>
      <c r="K6393" s="9"/>
      <c r="L6393" s="9"/>
      <c r="M6393" s="9"/>
    </row>
    <row r="6394">
      <c r="J6394" s="9"/>
      <c r="K6394" s="9"/>
      <c r="L6394" s="9"/>
      <c r="M6394" s="9"/>
    </row>
    <row r="6395">
      <c r="J6395" s="9"/>
      <c r="K6395" s="9"/>
      <c r="L6395" s="9"/>
      <c r="M6395" s="9"/>
    </row>
    <row r="6396">
      <c r="J6396" s="9"/>
      <c r="K6396" s="9"/>
      <c r="L6396" s="9"/>
      <c r="M6396" s="9"/>
    </row>
    <row r="6397">
      <c r="J6397" s="9"/>
      <c r="K6397" s="9"/>
      <c r="L6397" s="9"/>
      <c r="M6397" s="9"/>
    </row>
    <row r="6398">
      <c r="J6398" s="9"/>
      <c r="K6398" s="9"/>
      <c r="L6398" s="9"/>
      <c r="M6398" s="9"/>
    </row>
    <row r="6399">
      <c r="J6399" s="9"/>
      <c r="K6399" s="9"/>
      <c r="L6399" s="9"/>
      <c r="M6399" s="9"/>
    </row>
    <row r="6400">
      <c r="J6400" s="9"/>
      <c r="K6400" s="9"/>
      <c r="L6400" s="9"/>
      <c r="M6400" s="9"/>
    </row>
    <row r="6401">
      <c r="J6401" s="9"/>
      <c r="K6401" s="9"/>
      <c r="L6401" s="9"/>
      <c r="M6401" s="9"/>
    </row>
    <row r="6402">
      <c r="J6402" s="9"/>
      <c r="K6402" s="9"/>
      <c r="L6402" s="9"/>
      <c r="M6402" s="9"/>
    </row>
    <row r="6403">
      <c r="J6403" s="9"/>
      <c r="K6403" s="9"/>
      <c r="L6403" s="9"/>
      <c r="M6403" s="9"/>
    </row>
    <row r="6404">
      <c r="J6404" s="9"/>
      <c r="K6404" s="9"/>
      <c r="L6404" s="9"/>
      <c r="M6404" s="9"/>
    </row>
    <row r="6405">
      <c r="J6405" s="9"/>
      <c r="K6405" s="9"/>
      <c r="L6405" s="9"/>
      <c r="M6405" s="9"/>
    </row>
    <row r="6406">
      <c r="J6406" s="9"/>
      <c r="K6406" s="9"/>
      <c r="L6406" s="9"/>
      <c r="M6406" s="9"/>
    </row>
    <row r="6407">
      <c r="J6407" s="9"/>
      <c r="K6407" s="9"/>
      <c r="L6407" s="9"/>
      <c r="M6407" s="9"/>
    </row>
    <row r="6408">
      <c r="J6408" s="9"/>
      <c r="K6408" s="9"/>
      <c r="L6408" s="9"/>
      <c r="M6408" s="9"/>
    </row>
    <row r="6409">
      <c r="J6409" s="9"/>
      <c r="K6409" s="9"/>
      <c r="L6409" s="9"/>
      <c r="M6409" s="9"/>
    </row>
    <row r="6410">
      <c r="J6410" s="9"/>
      <c r="K6410" s="9"/>
      <c r="L6410" s="9"/>
      <c r="M6410" s="9"/>
    </row>
    <row r="6411">
      <c r="J6411" s="9"/>
      <c r="K6411" s="9"/>
      <c r="L6411" s="9"/>
      <c r="M6411" s="9"/>
    </row>
    <row r="6412">
      <c r="J6412" s="9"/>
      <c r="K6412" s="9"/>
      <c r="L6412" s="9"/>
      <c r="M6412" s="9"/>
    </row>
    <row r="6413">
      <c r="J6413" s="9"/>
      <c r="K6413" s="9"/>
      <c r="L6413" s="9"/>
      <c r="M6413" s="9"/>
    </row>
    <row r="6414">
      <c r="J6414" s="9"/>
      <c r="K6414" s="9"/>
      <c r="L6414" s="9"/>
      <c r="M6414" s="9"/>
    </row>
    <row r="6415">
      <c r="J6415" s="9"/>
      <c r="K6415" s="9"/>
      <c r="L6415" s="9"/>
      <c r="M6415" s="9"/>
    </row>
    <row r="6416">
      <c r="J6416" s="9"/>
      <c r="K6416" s="9"/>
      <c r="L6416" s="9"/>
      <c r="M6416" s="9"/>
    </row>
    <row r="6417">
      <c r="J6417" s="9"/>
      <c r="K6417" s="9"/>
      <c r="L6417" s="9"/>
      <c r="M6417" s="9"/>
    </row>
    <row r="6418">
      <c r="J6418" s="9"/>
      <c r="K6418" s="9"/>
      <c r="L6418" s="9"/>
      <c r="M6418" s="9"/>
    </row>
    <row r="6419">
      <c r="J6419" s="9"/>
      <c r="K6419" s="9"/>
      <c r="L6419" s="9"/>
      <c r="M6419" s="9"/>
    </row>
    <row r="6420">
      <c r="J6420" s="9"/>
      <c r="K6420" s="9"/>
      <c r="L6420" s="9"/>
      <c r="M6420" s="9"/>
    </row>
    <row r="6421">
      <c r="J6421" s="9"/>
      <c r="K6421" s="9"/>
      <c r="L6421" s="9"/>
      <c r="M6421" s="9"/>
    </row>
    <row r="6422">
      <c r="J6422" s="9"/>
      <c r="K6422" s="9"/>
      <c r="L6422" s="9"/>
      <c r="M6422" s="9"/>
    </row>
    <row r="6423">
      <c r="J6423" s="9"/>
      <c r="K6423" s="9"/>
      <c r="L6423" s="9"/>
      <c r="M6423" s="9"/>
    </row>
    <row r="6424">
      <c r="J6424" s="9"/>
      <c r="K6424" s="9"/>
      <c r="L6424" s="9"/>
      <c r="M6424" s="9"/>
    </row>
    <row r="6425">
      <c r="J6425" s="9"/>
      <c r="K6425" s="9"/>
      <c r="L6425" s="9"/>
      <c r="M6425" s="9"/>
    </row>
    <row r="6426">
      <c r="J6426" s="9"/>
      <c r="K6426" s="9"/>
      <c r="L6426" s="9"/>
      <c r="M6426" s="9"/>
    </row>
    <row r="6427">
      <c r="J6427" s="9"/>
      <c r="K6427" s="9"/>
      <c r="L6427" s="9"/>
      <c r="M6427" s="9"/>
    </row>
    <row r="6428">
      <c r="J6428" s="9"/>
      <c r="K6428" s="9"/>
      <c r="L6428" s="9"/>
      <c r="M6428" s="9"/>
    </row>
    <row r="6429">
      <c r="J6429" s="9"/>
      <c r="K6429" s="9"/>
      <c r="L6429" s="9"/>
      <c r="M6429" s="9"/>
    </row>
    <row r="6430">
      <c r="J6430" s="9"/>
      <c r="K6430" s="9"/>
      <c r="L6430" s="9"/>
      <c r="M6430" s="9"/>
    </row>
    <row r="6431">
      <c r="J6431" s="9"/>
      <c r="K6431" s="9"/>
      <c r="L6431" s="9"/>
      <c r="M6431" s="9"/>
    </row>
    <row r="6432">
      <c r="J6432" s="9"/>
      <c r="K6432" s="9"/>
      <c r="L6432" s="9"/>
      <c r="M6432" s="9"/>
    </row>
    <row r="6433">
      <c r="J6433" s="9"/>
      <c r="K6433" s="9"/>
      <c r="L6433" s="9"/>
      <c r="M6433" s="9"/>
    </row>
    <row r="6434">
      <c r="J6434" s="9"/>
      <c r="K6434" s="9"/>
      <c r="L6434" s="9"/>
      <c r="M6434" s="9"/>
    </row>
    <row r="6435">
      <c r="J6435" s="9"/>
      <c r="K6435" s="9"/>
      <c r="L6435" s="9"/>
      <c r="M6435" s="9"/>
    </row>
    <row r="6436">
      <c r="J6436" s="9"/>
      <c r="K6436" s="9"/>
      <c r="L6436" s="9"/>
      <c r="M6436" s="9"/>
    </row>
    <row r="6437">
      <c r="J6437" s="9"/>
      <c r="K6437" s="9"/>
      <c r="L6437" s="9"/>
      <c r="M6437" s="9"/>
    </row>
    <row r="6438">
      <c r="J6438" s="9"/>
      <c r="K6438" s="9"/>
      <c r="L6438" s="9"/>
      <c r="M6438" s="9"/>
    </row>
    <row r="6439">
      <c r="J6439" s="9"/>
      <c r="K6439" s="9"/>
      <c r="L6439" s="9"/>
      <c r="M6439" s="9"/>
    </row>
    <row r="6440">
      <c r="J6440" s="9"/>
      <c r="K6440" s="9"/>
      <c r="L6440" s="9"/>
      <c r="M6440" s="9"/>
    </row>
    <row r="6441">
      <c r="J6441" s="9"/>
      <c r="K6441" s="9"/>
      <c r="L6441" s="9"/>
      <c r="M6441" s="9"/>
    </row>
    <row r="6442">
      <c r="J6442" s="9"/>
      <c r="K6442" s="9"/>
      <c r="L6442" s="9"/>
      <c r="M6442" s="9"/>
    </row>
    <row r="6443">
      <c r="J6443" s="9"/>
      <c r="K6443" s="9"/>
      <c r="L6443" s="9"/>
      <c r="M6443" s="9"/>
    </row>
    <row r="6444">
      <c r="J6444" s="9"/>
      <c r="K6444" s="9"/>
      <c r="L6444" s="9"/>
      <c r="M6444" s="9"/>
    </row>
    <row r="6445">
      <c r="J6445" s="9"/>
      <c r="K6445" s="9"/>
      <c r="L6445" s="9"/>
      <c r="M6445" s="9"/>
    </row>
    <row r="6446">
      <c r="J6446" s="9"/>
      <c r="K6446" s="9"/>
      <c r="L6446" s="9"/>
      <c r="M6446" s="9"/>
    </row>
    <row r="6447">
      <c r="J6447" s="9"/>
      <c r="K6447" s="9"/>
      <c r="L6447" s="9"/>
      <c r="M6447" s="9"/>
    </row>
    <row r="6448">
      <c r="J6448" s="9"/>
      <c r="K6448" s="9"/>
      <c r="L6448" s="9"/>
      <c r="M6448" s="9"/>
    </row>
    <row r="6449">
      <c r="J6449" s="9"/>
      <c r="K6449" s="9"/>
      <c r="L6449" s="9"/>
      <c r="M6449" s="9"/>
    </row>
    <row r="6450">
      <c r="J6450" s="9"/>
      <c r="K6450" s="9"/>
      <c r="L6450" s="9"/>
      <c r="M6450" s="9"/>
    </row>
    <row r="6451">
      <c r="J6451" s="9"/>
      <c r="K6451" s="9"/>
      <c r="L6451" s="9"/>
      <c r="M6451" s="9"/>
    </row>
    <row r="6452">
      <c r="J6452" s="9"/>
      <c r="K6452" s="9"/>
      <c r="L6452" s="9"/>
      <c r="M6452" s="9"/>
    </row>
    <row r="6453">
      <c r="J6453" s="9"/>
      <c r="K6453" s="9"/>
      <c r="L6453" s="9"/>
      <c r="M6453" s="9"/>
    </row>
    <row r="6454">
      <c r="J6454" s="9"/>
      <c r="K6454" s="9"/>
      <c r="L6454" s="9"/>
      <c r="M6454" s="9"/>
    </row>
    <row r="6455">
      <c r="J6455" s="9"/>
      <c r="K6455" s="9"/>
      <c r="L6455" s="9"/>
      <c r="M6455" s="9"/>
    </row>
    <row r="6456">
      <c r="J6456" s="9"/>
      <c r="K6456" s="9"/>
      <c r="L6456" s="9"/>
      <c r="M6456" s="9"/>
    </row>
    <row r="6457">
      <c r="J6457" s="9"/>
      <c r="K6457" s="9"/>
      <c r="L6457" s="9"/>
      <c r="M6457" s="9"/>
    </row>
    <row r="6458">
      <c r="J6458" s="9"/>
      <c r="K6458" s="9"/>
      <c r="L6458" s="9"/>
      <c r="M6458" s="9"/>
    </row>
    <row r="6459">
      <c r="J6459" s="9"/>
      <c r="K6459" s="9"/>
      <c r="L6459" s="9"/>
      <c r="M6459" s="9"/>
    </row>
    <row r="6460">
      <c r="J6460" s="9"/>
      <c r="K6460" s="9"/>
      <c r="L6460" s="9"/>
      <c r="M6460" s="9"/>
    </row>
    <row r="6461">
      <c r="J6461" s="9"/>
      <c r="K6461" s="9"/>
      <c r="L6461" s="9"/>
      <c r="M6461" s="9"/>
    </row>
    <row r="6462">
      <c r="J6462" s="9"/>
      <c r="K6462" s="9"/>
      <c r="L6462" s="9"/>
      <c r="M6462" s="9"/>
    </row>
    <row r="6463">
      <c r="J6463" s="9"/>
      <c r="K6463" s="9"/>
      <c r="L6463" s="9"/>
      <c r="M6463" s="9"/>
    </row>
    <row r="6464">
      <c r="J6464" s="9"/>
      <c r="K6464" s="9"/>
      <c r="L6464" s="9"/>
      <c r="M6464" s="9"/>
    </row>
    <row r="6465">
      <c r="J6465" s="9"/>
      <c r="K6465" s="9"/>
      <c r="L6465" s="9"/>
      <c r="M6465" s="9"/>
    </row>
    <row r="6466">
      <c r="J6466" s="9"/>
      <c r="K6466" s="9"/>
      <c r="L6466" s="9"/>
      <c r="M6466" s="9"/>
    </row>
    <row r="6467">
      <c r="J6467" s="9"/>
      <c r="K6467" s="9"/>
      <c r="L6467" s="9"/>
      <c r="M6467" s="9"/>
    </row>
    <row r="6468">
      <c r="J6468" s="9"/>
      <c r="K6468" s="9"/>
      <c r="L6468" s="9"/>
      <c r="M6468" s="9"/>
    </row>
    <row r="6469">
      <c r="J6469" s="9"/>
      <c r="K6469" s="9"/>
      <c r="L6469" s="9"/>
      <c r="M6469" s="9"/>
    </row>
    <row r="6470">
      <c r="J6470" s="9"/>
      <c r="K6470" s="9"/>
      <c r="L6470" s="9"/>
      <c r="M6470" s="9"/>
    </row>
    <row r="6471">
      <c r="J6471" s="9"/>
      <c r="K6471" s="9"/>
      <c r="L6471" s="9"/>
      <c r="M6471" s="9"/>
    </row>
    <row r="6472">
      <c r="J6472" s="9"/>
      <c r="K6472" s="9"/>
      <c r="L6472" s="9"/>
      <c r="M6472" s="9"/>
    </row>
    <row r="6473">
      <c r="J6473" s="9"/>
      <c r="K6473" s="9"/>
      <c r="L6473" s="9"/>
      <c r="M6473" s="9"/>
    </row>
    <row r="6474">
      <c r="J6474" s="9"/>
      <c r="K6474" s="9"/>
      <c r="L6474" s="9"/>
      <c r="M6474" s="9"/>
    </row>
    <row r="6475">
      <c r="J6475" s="9"/>
      <c r="K6475" s="9"/>
      <c r="L6475" s="9"/>
      <c r="M6475" s="9"/>
    </row>
    <row r="6476">
      <c r="J6476" s="9"/>
      <c r="K6476" s="9"/>
      <c r="L6476" s="9"/>
      <c r="M6476" s="9"/>
    </row>
    <row r="6477">
      <c r="J6477" s="9"/>
      <c r="K6477" s="9"/>
      <c r="L6477" s="9"/>
      <c r="M6477" s="9"/>
    </row>
    <row r="6478">
      <c r="J6478" s="9"/>
      <c r="K6478" s="9"/>
      <c r="L6478" s="9"/>
      <c r="M6478" s="9"/>
    </row>
    <row r="6479">
      <c r="J6479" s="9"/>
      <c r="K6479" s="9"/>
      <c r="L6479" s="9"/>
      <c r="M6479" s="9"/>
    </row>
    <row r="6480">
      <c r="J6480" s="9"/>
      <c r="K6480" s="9"/>
      <c r="L6480" s="9"/>
      <c r="M6480" s="9"/>
    </row>
    <row r="6481">
      <c r="J6481" s="9"/>
      <c r="K6481" s="9"/>
      <c r="L6481" s="9"/>
      <c r="M6481" s="9"/>
    </row>
    <row r="6482">
      <c r="J6482" s="9"/>
      <c r="K6482" s="9"/>
      <c r="L6482" s="9"/>
      <c r="M6482" s="9"/>
    </row>
    <row r="6483">
      <c r="J6483" s="9"/>
      <c r="K6483" s="9"/>
      <c r="L6483" s="9"/>
      <c r="M6483" s="9"/>
    </row>
    <row r="6484">
      <c r="J6484" s="9"/>
      <c r="K6484" s="9"/>
      <c r="L6484" s="9"/>
      <c r="M6484" s="9"/>
    </row>
    <row r="6485">
      <c r="J6485" s="9"/>
      <c r="K6485" s="9"/>
      <c r="L6485" s="9"/>
      <c r="M6485" s="9"/>
    </row>
    <row r="6486">
      <c r="J6486" s="9"/>
      <c r="K6486" s="9"/>
      <c r="L6486" s="9"/>
      <c r="M6486" s="9"/>
    </row>
    <row r="6487">
      <c r="J6487" s="9"/>
      <c r="K6487" s="9"/>
      <c r="L6487" s="9"/>
      <c r="M6487" s="9"/>
    </row>
    <row r="6488">
      <c r="J6488" s="9"/>
      <c r="K6488" s="9"/>
      <c r="L6488" s="9"/>
      <c r="M6488" s="9"/>
    </row>
    <row r="6489">
      <c r="J6489" s="9"/>
      <c r="K6489" s="9"/>
      <c r="L6489" s="9"/>
      <c r="M6489" s="9"/>
    </row>
    <row r="6490">
      <c r="J6490" s="9"/>
      <c r="K6490" s="9"/>
      <c r="L6490" s="9"/>
      <c r="M6490" s="9"/>
    </row>
    <row r="6491">
      <c r="J6491" s="9"/>
      <c r="K6491" s="9"/>
      <c r="L6491" s="9"/>
      <c r="M6491" s="9"/>
    </row>
    <row r="6492">
      <c r="J6492" s="9"/>
      <c r="K6492" s="9"/>
      <c r="L6492" s="9"/>
      <c r="M6492" s="9"/>
    </row>
    <row r="6493">
      <c r="J6493" s="9"/>
      <c r="K6493" s="9"/>
      <c r="L6493" s="9"/>
      <c r="M6493" s="9"/>
    </row>
    <row r="6494">
      <c r="J6494" s="9"/>
      <c r="K6494" s="9"/>
      <c r="L6494" s="9"/>
      <c r="M6494" s="9"/>
    </row>
    <row r="6495">
      <c r="J6495" s="9"/>
      <c r="K6495" s="9"/>
      <c r="L6495" s="9"/>
      <c r="M6495" s="9"/>
    </row>
    <row r="6496">
      <c r="J6496" s="9"/>
      <c r="K6496" s="9"/>
      <c r="L6496" s="9"/>
      <c r="M6496" s="9"/>
    </row>
    <row r="6497">
      <c r="J6497" s="9"/>
      <c r="K6497" s="9"/>
      <c r="L6497" s="9"/>
      <c r="M6497" s="9"/>
    </row>
    <row r="6498">
      <c r="J6498" s="9"/>
      <c r="K6498" s="9"/>
      <c r="L6498" s="9"/>
      <c r="M6498" s="9"/>
    </row>
    <row r="6499">
      <c r="J6499" s="9"/>
      <c r="K6499" s="9"/>
      <c r="L6499" s="9"/>
      <c r="M6499" s="9"/>
    </row>
    <row r="6500">
      <c r="J6500" s="9"/>
      <c r="K6500" s="9"/>
      <c r="L6500" s="9"/>
      <c r="M6500" s="9"/>
    </row>
    <row r="6501">
      <c r="J6501" s="9"/>
      <c r="K6501" s="9"/>
      <c r="L6501" s="9"/>
      <c r="M6501" s="9"/>
    </row>
    <row r="6502">
      <c r="J6502" s="9"/>
      <c r="K6502" s="9"/>
      <c r="L6502" s="9"/>
      <c r="M6502" s="9"/>
    </row>
    <row r="6503">
      <c r="J6503" s="9"/>
      <c r="K6503" s="9"/>
      <c r="L6503" s="9"/>
      <c r="M6503" s="9"/>
    </row>
    <row r="6504">
      <c r="J6504" s="9"/>
      <c r="K6504" s="9"/>
      <c r="L6504" s="9"/>
      <c r="M6504" s="9"/>
    </row>
    <row r="6505">
      <c r="J6505" s="9"/>
      <c r="K6505" s="9"/>
      <c r="L6505" s="9"/>
      <c r="M6505" s="9"/>
    </row>
    <row r="6506">
      <c r="J6506" s="9"/>
      <c r="K6506" s="9"/>
      <c r="L6506" s="9"/>
      <c r="M6506" s="9"/>
    </row>
    <row r="6507">
      <c r="J6507" s="9"/>
      <c r="K6507" s="9"/>
      <c r="L6507" s="9"/>
      <c r="M6507" s="9"/>
    </row>
    <row r="6508">
      <c r="J6508" s="9"/>
      <c r="K6508" s="9"/>
      <c r="L6508" s="9"/>
      <c r="M6508" s="9"/>
    </row>
    <row r="6509">
      <c r="J6509" s="9"/>
      <c r="K6509" s="9"/>
      <c r="L6509" s="9"/>
      <c r="M6509" s="9"/>
    </row>
    <row r="6510">
      <c r="J6510" s="9"/>
      <c r="K6510" s="9"/>
      <c r="L6510" s="9"/>
      <c r="M6510" s="9"/>
    </row>
    <row r="6511">
      <c r="J6511" s="9"/>
      <c r="K6511" s="9"/>
      <c r="L6511" s="9"/>
      <c r="M6511" s="9"/>
    </row>
    <row r="6512">
      <c r="J6512" s="9"/>
      <c r="K6512" s="9"/>
      <c r="L6512" s="9"/>
      <c r="M6512" s="9"/>
    </row>
    <row r="6513">
      <c r="J6513" s="9"/>
      <c r="K6513" s="9"/>
      <c r="L6513" s="9"/>
      <c r="M6513" s="9"/>
    </row>
    <row r="6514">
      <c r="J6514" s="9"/>
      <c r="K6514" s="9"/>
      <c r="L6514" s="9"/>
      <c r="M6514" s="9"/>
    </row>
    <row r="6515">
      <c r="J6515" s="9"/>
      <c r="K6515" s="9"/>
      <c r="L6515" s="9"/>
      <c r="M6515" s="9"/>
    </row>
    <row r="6516">
      <c r="J6516" s="9"/>
      <c r="K6516" s="9"/>
      <c r="L6516" s="9"/>
      <c r="M6516" s="9"/>
    </row>
    <row r="6517">
      <c r="J6517" s="9"/>
      <c r="K6517" s="9"/>
      <c r="L6517" s="9"/>
      <c r="M6517" s="9"/>
    </row>
    <row r="6518">
      <c r="J6518" s="9"/>
      <c r="K6518" s="9"/>
      <c r="L6518" s="9"/>
      <c r="M6518" s="9"/>
    </row>
    <row r="6519">
      <c r="J6519" s="9"/>
      <c r="K6519" s="9"/>
      <c r="L6519" s="9"/>
      <c r="M6519" s="9"/>
    </row>
    <row r="6520">
      <c r="J6520" s="9"/>
      <c r="K6520" s="9"/>
      <c r="L6520" s="9"/>
      <c r="M6520" s="9"/>
    </row>
    <row r="6521">
      <c r="J6521" s="9"/>
      <c r="K6521" s="9"/>
      <c r="L6521" s="9"/>
      <c r="M6521" s="9"/>
    </row>
    <row r="6522">
      <c r="J6522" s="9"/>
      <c r="K6522" s="9"/>
      <c r="L6522" s="9"/>
      <c r="M6522" s="9"/>
    </row>
    <row r="6523">
      <c r="J6523" s="9"/>
      <c r="K6523" s="9"/>
      <c r="L6523" s="9"/>
      <c r="M6523" s="9"/>
    </row>
    <row r="6524">
      <c r="J6524" s="9"/>
      <c r="K6524" s="9"/>
      <c r="L6524" s="9"/>
      <c r="M6524" s="9"/>
    </row>
    <row r="6525">
      <c r="J6525" s="9"/>
      <c r="K6525" s="9"/>
      <c r="L6525" s="9"/>
      <c r="M6525" s="9"/>
    </row>
    <row r="6526">
      <c r="J6526" s="9"/>
      <c r="K6526" s="9"/>
      <c r="L6526" s="9"/>
      <c r="M6526" s="9"/>
    </row>
    <row r="6527">
      <c r="J6527" s="9"/>
      <c r="K6527" s="9"/>
      <c r="L6527" s="9"/>
      <c r="M6527" s="9"/>
    </row>
    <row r="6528">
      <c r="J6528" s="9"/>
      <c r="K6528" s="9"/>
      <c r="L6528" s="9"/>
      <c r="M6528" s="9"/>
    </row>
    <row r="6529">
      <c r="J6529" s="9"/>
      <c r="K6529" s="9"/>
      <c r="L6529" s="9"/>
      <c r="M6529" s="9"/>
    </row>
    <row r="6530">
      <c r="J6530" s="9"/>
      <c r="K6530" s="9"/>
      <c r="L6530" s="9"/>
      <c r="M6530" s="9"/>
    </row>
    <row r="6531">
      <c r="J6531" s="9"/>
      <c r="K6531" s="9"/>
      <c r="L6531" s="9"/>
      <c r="M6531" s="9"/>
    </row>
    <row r="6532">
      <c r="J6532" s="9"/>
      <c r="K6532" s="9"/>
      <c r="L6532" s="9"/>
      <c r="M6532" s="9"/>
    </row>
    <row r="6533">
      <c r="J6533" s="9"/>
      <c r="K6533" s="9"/>
      <c r="L6533" s="9"/>
      <c r="M6533" s="9"/>
    </row>
    <row r="6534">
      <c r="J6534" s="9"/>
      <c r="K6534" s="9"/>
      <c r="L6534" s="9"/>
      <c r="M6534" s="9"/>
    </row>
    <row r="6535">
      <c r="J6535" s="9"/>
      <c r="K6535" s="9"/>
      <c r="L6535" s="9"/>
      <c r="M6535" s="9"/>
    </row>
    <row r="6536">
      <c r="J6536" s="9"/>
      <c r="K6536" s="9"/>
      <c r="L6536" s="9"/>
      <c r="M6536" s="9"/>
    </row>
    <row r="6537">
      <c r="J6537" s="9"/>
      <c r="K6537" s="9"/>
      <c r="L6537" s="9"/>
      <c r="M6537" s="9"/>
    </row>
    <row r="6538">
      <c r="J6538" s="9"/>
      <c r="K6538" s="9"/>
      <c r="L6538" s="9"/>
      <c r="M6538" s="9"/>
    </row>
    <row r="6539">
      <c r="J6539" s="9"/>
      <c r="K6539" s="9"/>
      <c r="L6539" s="9"/>
      <c r="M6539" s="9"/>
    </row>
    <row r="6540">
      <c r="J6540" s="9"/>
      <c r="K6540" s="9"/>
      <c r="L6540" s="9"/>
      <c r="M6540" s="9"/>
    </row>
    <row r="6541">
      <c r="J6541" s="9"/>
      <c r="K6541" s="9"/>
      <c r="L6541" s="9"/>
      <c r="M6541" s="9"/>
    </row>
    <row r="6542">
      <c r="J6542" s="9"/>
      <c r="K6542" s="9"/>
      <c r="L6542" s="9"/>
      <c r="M6542" s="9"/>
    </row>
    <row r="6543">
      <c r="J6543" s="9"/>
      <c r="K6543" s="9"/>
      <c r="L6543" s="9"/>
      <c r="M6543" s="9"/>
    </row>
    <row r="6544">
      <c r="J6544" s="9"/>
      <c r="K6544" s="9"/>
      <c r="L6544" s="9"/>
      <c r="M6544" s="9"/>
    </row>
    <row r="6545">
      <c r="J6545" s="9"/>
      <c r="K6545" s="9"/>
      <c r="L6545" s="9"/>
      <c r="M6545" s="9"/>
    </row>
    <row r="6546">
      <c r="J6546" s="9"/>
      <c r="K6546" s="9"/>
      <c r="L6546" s="9"/>
      <c r="M6546" s="9"/>
    </row>
    <row r="6547">
      <c r="J6547" s="9"/>
      <c r="K6547" s="9"/>
      <c r="L6547" s="9"/>
      <c r="M6547" s="9"/>
    </row>
    <row r="6548">
      <c r="J6548" s="9"/>
      <c r="K6548" s="9"/>
      <c r="L6548" s="9"/>
      <c r="M6548" s="9"/>
    </row>
    <row r="6549">
      <c r="J6549" s="9"/>
      <c r="K6549" s="9"/>
      <c r="L6549" s="9"/>
      <c r="M6549" s="9"/>
    </row>
    <row r="6550">
      <c r="J6550" s="9"/>
      <c r="K6550" s="9"/>
      <c r="L6550" s="9"/>
      <c r="M6550" s="9"/>
    </row>
    <row r="6551">
      <c r="J6551" s="9"/>
      <c r="K6551" s="9"/>
      <c r="L6551" s="9"/>
      <c r="M6551" s="9"/>
    </row>
    <row r="6552">
      <c r="J6552" s="9"/>
      <c r="K6552" s="9"/>
      <c r="L6552" s="9"/>
      <c r="M6552" s="9"/>
    </row>
    <row r="6553">
      <c r="J6553" s="9"/>
      <c r="K6553" s="9"/>
      <c r="L6553" s="9"/>
      <c r="M6553" s="9"/>
    </row>
    <row r="6554">
      <c r="J6554" s="9"/>
      <c r="K6554" s="9"/>
      <c r="L6554" s="9"/>
      <c r="M6554" s="9"/>
    </row>
    <row r="6555">
      <c r="J6555" s="9"/>
      <c r="K6555" s="9"/>
      <c r="L6555" s="9"/>
      <c r="M6555" s="9"/>
    </row>
    <row r="6556">
      <c r="J6556" s="9"/>
      <c r="K6556" s="9"/>
      <c r="L6556" s="9"/>
      <c r="M6556" s="9"/>
    </row>
    <row r="6557">
      <c r="J6557" s="9"/>
      <c r="K6557" s="9"/>
      <c r="L6557" s="9"/>
      <c r="M6557" s="9"/>
    </row>
    <row r="6558">
      <c r="J6558" s="9"/>
      <c r="K6558" s="9"/>
      <c r="L6558" s="9"/>
      <c r="M6558" s="9"/>
    </row>
    <row r="6559">
      <c r="J6559" s="9"/>
      <c r="K6559" s="9"/>
      <c r="L6559" s="9"/>
      <c r="M6559" s="9"/>
    </row>
    <row r="6560">
      <c r="J6560" s="9"/>
      <c r="K6560" s="9"/>
      <c r="L6560" s="9"/>
      <c r="M6560" s="9"/>
    </row>
    <row r="6561">
      <c r="J6561" s="9"/>
      <c r="K6561" s="9"/>
      <c r="L6561" s="9"/>
      <c r="M6561" s="9"/>
    </row>
    <row r="6562">
      <c r="J6562" s="9"/>
      <c r="K6562" s="9"/>
      <c r="L6562" s="9"/>
      <c r="M6562" s="9"/>
    </row>
    <row r="6563">
      <c r="J6563" s="9"/>
      <c r="K6563" s="9"/>
      <c r="L6563" s="9"/>
      <c r="M6563" s="9"/>
    </row>
    <row r="6564">
      <c r="J6564" s="9"/>
      <c r="K6564" s="9"/>
      <c r="L6564" s="9"/>
      <c r="M6564" s="9"/>
    </row>
    <row r="6565">
      <c r="J6565" s="9"/>
      <c r="K6565" s="9"/>
      <c r="L6565" s="9"/>
      <c r="M6565" s="9"/>
    </row>
    <row r="6566">
      <c r="J6566" s="9"/>
      <c r="K6566" s="9"/>
      <c r="L6566" s="9"/>
      <c r="M6566" s="9"/>
    </row>
    <row r="6567">
      <c r="J6567" s="9"/>
      <c r="K6567" s="9"/>
      <c r="L6567" s="9"/>
      <c r="M6567" s="9"/>
    </row>
    <row r="6568">
      <c r="J6568" s="9"/>
      <c r="K6568" s="9"/>
      <c r="L6568" s="9"/>
      <c r="M6568" s="9"/>
    </row>
    <row r="6569">
      <c r="J6569" s="9"/>
      <c r="K6569" s="9"/>
      <c r="L6569" s="9"/>
      <c r="M6569" s="9"/>
    </row>
    <row r="6570">
      <c r="J6570" s="9"/>
      <c r="K6570" s="9"/>
      <c r="L6570" s="9"/>
      <c r="M6570" s="9"/>
    </row>
    <row r="6571">
      <c r="J6571" s="9"/>
      <c r="K6571" s="9"/>
      <c r="L6571" s="9"/>
      <c r="M6571" s="9"/>
    </row>
    <row r="6572">
      <c r="J6572" s="9"/>
      <c r="K6572" s="9"/>
      <c r="L6572" s="9"/>
      <c r="M6572" s="9"/>
    </row>
    <row r="6573">
      <c r="J6573" s="9"/>
      <c r="K6573" s="9"/>
      <c r="L6573" s="9"/>
      <c r="M6573" s="9"/>
    </row>
    <row r="6574">
      <c r="J6574" s="9"/>
      <c r="K6574" s="9"/>
      <c r="L6574" s="9"/>
      <c r="M6574" s="9"/>
    </row>
    <row r="6575">
      <c r="J6575" s="9"/>
      <c r="K6575" s="9"/>
      <c r="L6575" s="9"/>
      <c r="M6575" s="9"/>
    </row>
    <row r="6576">
      <c r="J6576" s="9"/>
      <c r="K6576" s="9"/>
      <c r="L6576" s="9"/>
      <c r="M6576" s="9"/>
    </row>
    <row r="6577">
      <c r="J6577" s="9"/>
      <c r="K6577" s="9"/>
      <c r="L6577" s="9"/>
      <c r="M6577" s="9"/>
    </row>
    <row r="6578">
      <c r="J6578" s="9"/>
      <c r="K6578" s="9"/>
      <c r="L6578" s="9"/>
      <c r="M6578" s="9"/>
    </row>
    <row r="6579">
      <c r="J6579" s="9"/>
      <c r="K6579" s="9"/>
      <c r="L6579" s="9"/>
      <c r="M6579" s="9"/>
    </row>
    <row r="6580">
      <c r="J6580" s="9"/>
      <c r="K6580" s="9"/>
      <c r="L6580" s="9"/>
      <c r="M6580" s="9"/>
    </row>
    <row r="6581">
      <c r="J6581" s="9"/>
      <c r="K6581" s="9"/>
      <c r="L6581" s="9"/>
      <c r="M6581" s="9"/>
    </row>
    <row r="6582">
      <c r="J6582" s="9"/>
      <c r="K6582" s="9"/>
      <c r="L6582" s="9"/>
      <c r="M6582" s="9"/>
    </row>
    <row r="6583">
      <c r="J6583" s="9"/>
      <c r="K6583" s="9"/>
      <c r="L6583" s="9"/>
      <c r="M6583" s="9"/>
    </row>
    <row r="6584">
      <c r="J6584" s="9"/>
      <c r="K6584" s="9"/>
      <c r="L6584" s="9"/>
      <c r="M6584" s="9"/>
    </row>
    <row r="6585">
      <c r="J6585" s="9"/>
      <c r="K6585" s="9"/>
      <c r="L6585" s="9"/>
      <c r="M6585" s="9"/>
    </row>
    <row r="6586">
      <c r="J6586" s="9"/>
      <c r="K6586" s="9"/>
      <c r="L6586" s="9"/>
      <c r="M6586" s="9"/>
    </row>
    <row r="6587">
      <c r="J6587" s="9"/>
      <c r="K6587" s="9"/>
      <c r="L6587" s="9"/>
      <c r="M6587" s="9"/>
    </row>
    <row r="6588">
      <c r="J6588" s="9"/>
      <c r="K6588" s="9"/>
      <c r="L6588" s="9"/>
      <c r="M6588" s="9"/>
    </row>
    <row r="6589">
      <c r="J6589" s="9"/>
      <c r="K6589" s="9"/>
      <c r="L6589" s="9"/>
      <c r="M6589" s="9"/>
    </row>
    <row r="6590">
      <c r="J6590" s="9"/>
      <c r="K6590" s="9"/>
      <c r="L6590" s="9"/>
      <c r="M6590" s="9"/>
    </row>
    <row r="6591">
      <c r="J6591" s="9"/>
      <c r="K6591" s="9"/>
      <c r="L6591" s="9"/>
      <c r="M6591" s="9"/>
    </row>
    <row r="6592">
      <c r="J6592" s="9"/>
      <c r="K6592" s="9"/>
      <c r="L6592" s="9"/>
      <c r="M6592" s="9"/>
    </row>
    <row r="6593">
      <c r="J6593" s="9"/>
      <c r="K6593" s="9"/>
      <c r="L6593" s="9"/>
      <c r="M6593" s="9"/>
    </row>
    <row r="6594">
      <c r="J6594" s="9"/>
      <c r="K6594" s="9"/>
      <c r="L6594" s="9"/>
      <c r="M6594" s="9"/>
    </row>
    <row r="6595">
      <c r="J6595" s="9"/>
      <c r="K6595" s="9"/>
      <c r="L6595" s="9"/>
      <c r="M6595" s="9"/>
    </row>
    <row r="6596">
      <c r="J6596" s="9"/>
      <c r="K6596" s="9"/>
      <c r="L6596" s="9"/>
      <c r="M6596" s="9"/>
    </row>
    <row r="6597">
      <c r="J6597" s="9"/>
      <c r="K6597" s="9"/>
      <c r="L6597" s="9"/>
      <c r="M6597" s="9"/>
    </row>
    <row r="6598">
      <c r="J6598" s="9"/>
      <c r="K6598" s="9"/>
      <c r="L6598" s="9"/>
      <c r="M6598" s="9"/>
    </row>
    <row r="6599">
      <c r="J6599" s="9"/>
      <c r="K6599" s="9"/>
      <c r="L6599" s="9"/>
      <c r="M6599" s="9"/>
    </row>
    <row r="6600">
      <c r="J6600" s="9"/>
      <c r="K6600" s="9"/>
      <c r="L6600" s="9"/>
      <c r="M6600" s="9"/>
    </row>
    <row r="6601">
      <c r="J6601" s="9"/>
      <c r="K6601" s="9"/>
      <c r="L6601" s="9"/>
      <c r="M6601" s="9"/>
    </row>
    <row r="6602">
      <c r="J6602" s="9"/>
      <c r="K6602" s="9"/>
      <c r="L6602" s="9"/>
      <c r="M6602" s="9"/>
    </row>
    <row r="6603">
      <c r="J6603" s="9"/>
      <c r="K6603" s="9"/>
      <c r="L6603" s="9"/>
      <c r="M6603" s="9"/>
    </row>
    <row r="6604">
      <c r="J6604" s="9"/>
      <c r="K6604" s="9"/>
      <c r="L6604" s="9"/>
      <c r="M6604" s="9"/>
    </row>
    <row r="6605">
      <c r="J6605" s="9"/>
      <c r="K6605" s="9"/>
      <c r="L6605" s="9"/>
      <c r="M6605" s="9"/>
    </row>
    <row r="6606">
      <c r="J6606" s="9"/>
      <c r="K6606" s="9"/>
      <c r="L6606" s="9"/>
      <c r="M6606" s="9"/>
    </row>
    <row r="6607">
      <c r="J6607" s="9"/>
      <c r="K6607" s="9"/>
      <c r="L6607" s="9"/>
      <c r="M6607" s="9"/>
    </row>
    <row r="6608">
      <c r="J6608" s="9"/>
      <c r="K6608" s="9"/>
      <c r="L6608" s="9"/>
      <c r="M6608" s="9"/>
    </row>
    <row r="6609">
      <c r="J6609" s="9"/>
      <c r="K6609" s="9"/>
      <c r="L6609" s="9"/>
      <c r="M6609" s="9"/>
    </row>
    <row r="6610">
      <c r="J6610" s="9"/>
      <c r="K6610" s="9"/>
      <c r="L6610" s="9"/>
      <c r="M6610" s="9"/>
    </row>
    <row r="6611">
      <c r="J6611" s="9"/>
      <c r="K6611" s="9"/>
      <c r="L6611" s="9"/>
      <c r="M6611" s="9"/>
    </row>
    <row r="6612">
      <c r="J6612" s="9"/>
      <c r="K6612" s="9"/>
      <c r="L6612" s="9"/>
      <c r="M6612" s="9"/>
    </row>
    <row r="6613">
      <c r="J6613" s="9"/>
      <c r="K6613" s="9"/>
      <c r="L6613" s="9"/>
      <c r="M6613" s="9"/>
    </row>
    <row r="6614">
      <c r="J6614" s="9"/>
      <c r="K6614" s="9"/>
      <c r="L6614" s="9"/>
      <c r="M6614" s="9"/>
    </row>
    <row r="6615">
      <c r="J6615" s="9"/>
      <c r="K6615" s="9"/>
      <c r="L6615" s="9"/>
      <c r="M6615" s="9"/>
    </row>
    <row r="6616">
      <c r="J6616" s="9"/>
      <c r="K6616" s="9"/>
      <c r="L6616" s="9"/>
      <c r="M6616" s="9"/>
    </row>
    <row r="6617">
      <c r="J6617" s="9"/>
      <c r="K6617" s="9"/>
      <c r="L6617" s="9"/>
      <c r="M6617" s="9"/>
    </row>
    <row r="6618">
      <c r="J6618" s="9"/>
      <c r="K6618" s="9"/>
      <c r="L6618" s="9"/>
      <c r="M6618" s="9"/>
    </row>
    <row r="6619">
      <c r="J6619" s="9"/>
      <c r="K6619" s="9"/>
      <c r="L6619" s="9"/>
      <c r="M6619" s="9"/>
    </row>
    <row r="6620">
      <c r="J6620" s="9"/>
      <c r="K6620" s="9"/>
      <c r="L6620" s="9"/>
      <c r="M6620" s="9"/>
    </row>
    <row r="6621">
      <c r="J6621" s="9"/>
      <c r="K6621" s="9"/>
      <c r="L6621" s="9"/>
      <c r="M6621" s="9"/>
    </row>
    <row r="6622">
      <c r="J6622" s="9"/>
      <c r="K6622" s="9"/>
      <c r="L6622" s="9"/>
      <c r="M6622" s="9"/>
    </row>
    <row r="6623">
      <c r="J6623" s="9"/>
      <c r="K6623" s="9"/>
      <c r="L6623" s="9"/>
      <c r="M6623" s="9"/>
    </row>
    <row r="6624">
      <c r="J6624" s="9"/>
      <c r="K6624" s="9"/>
      <c r="L6624" s="9"/>
      <c r="M6624" s="9"/>
    </row>
    <row r="6625">
      <c r="J6625" s="9"/>
      <c r="K6625" s="9"/>
      <c r="L6625" s="9"/>
      <c r="M6625" s="9"/>
    </row>
    <row r="6626">
      <c r="J6626" s="9"/>
      <c r="K6626" s="9"/>
      <c r="L6626" s="9"/>
      <c r="M6626" s="9"/>
    </row>
    <row r="6627">
      <c r="J6627" s="9"/>
      <c r="K6627" s="9"/>
      <c r="L6627" s="9"/>
      <c r="M6627" s="9"/>
    </row>
    <row r="6628">
      <c r="J6628" s="9"/>
      <c r="K6628" s="9"/>
      <c r="L6628" s="9"/>
      <c r="M6628" s="9"/>
    </row>
    <row r="6629">
      <c r="J6629" s="9"/>
      <c r="K6629" s="9"/>
      <c r="L6629" s="9"/>
      <c r="M6629" s="9"/>
    </row>
    <row r="6630">
      <c r="J6630" s="9"/>
      <c r="K6630" s="9"/>
      <c r="L6630" s="9"/>
      <c r="M6630" s="9"/>
    </row>
    <row r="6631">
      <c r="J6631" s="9"/>
      <c r="K6631" s="9"/>
      <c r="L6631" s="9"/>
      <c r="M6631" s="9"/>
    </row>
    <row r="6632">
      <c r="J6632" s="9"/>
      <c r="K6632" s="9"/>
      <c r="L6632" s="9"/>
      <c r="M6632" s="9"/>
    </row>
    <row r="6633">
      <c r="J6633" s="9"/>
      <c r="K6633" s="9"/>
      <c r="L6633" s="9"/>
      <c r="M6633" s="9"/>
    </row>
    <row r="6634">
      <c r="J6634" s="9"/>
      <c r="K6634" s="9"/>
      <c r="L6634" s="9"/>
      <c r="M6634" s="9"/>
    </row>
    <row r="6635">
      <c r="J6635" s="9"/>
      <c r="K6635" s="9"/>
      <c r="L6635" s="9"/>
      <c r="M6635" s="9"/>
    </row>
    <row r="6636">
      <c r="J6636" s="9"/>
      <c r="K6636" s="9"/>
      <c r="L6636" s="9"/>
      <c r="M6636" s="9"/>
    </row>
    <row r="6637">
      <c r="J6637" s="9"/>
      <c r="K6637" s="9"/>
      <c r="L6637" s="9"/>
      <c r="M6637" s="9"/>
    </row>
    <row r="6638">
      <c r="J6638" s="9"/>
      <c r="K6638" s="9"/>
      <c r="L6638" s="9"/>
      <c r="M6638" s="9"/>
    </row>
    <row r="6639">
      <c r="J6639" s="9"/>
      <c r="K6639" s="9"/>
      <c r="L6639" s="9"/>
      <c r="M6639" s="9"/>
    </row>
    <row r="6640">
      <c r="J6640" s="9"/>
      <c r="K6640" s="9"/>
      <c r="L6640" s="9"/>
      <c r="M6640" s="9"/>
    </row>
    <row r="6641">
      <c r="J6641" s="9"/>
      <c r="K6641" s="9"/>
      <c r="L6641" s="9"/>
      <c r="M6641" s="9"/>
    </row>
    <row r="6642">
      <c r="J6642" s="9"/>
      <c r="K6642" s="9"/>
      <c r="L6642" s="9"/>
      <c r="M6642" s="9"/>
    </row>
    <row r="6643">
      <c r="J6643" s="9"/>
      <c r="K6643" s="9"/>
      <c r="L6643" s="9"/>
      <c r="M6643" s="9"/>
    </row>
    <row r="6644">
      <c r="J6644" s="9"/>
      <c r="K6644" s="9"/>
      <c r="L6644" s="9"/>
      <c r="M6644" s="9"/>
    </row>
    <row r="6645">
      <c r="J6645" s="9"/>
      <c r="K6645" s="9"/>
      <c r="L6645" s="9"/>
      <c r="M6645" s="9"/>
    </row>
    <row r="6646">
      <c r="J6646" s="9"/>
      <c r="K6646" s="9"/>
      <c r="L6646" s="9"/>
      <c r="M6646" s="9"/>
    </row>
    <row r="6647">
      <c r="J6647" s="9"/>
      <c r="K6647" s="9"/>
      <c r="L6647" s="9"/>
      <c r="M6647" s="9"/>
    </row>
    <row r="6648">
      <c r="J6648" s="9"/>
      <c r="K6648" s="9"/>
      <c r="L6648" s="9"/>
      <c r="M6648" s="9"/>
    </row>
    <row r="6649">
      <c r="J6649" s="9"/>
      <c r="K6649" s="9"/>
      <c r="L6649" s="9"/>
      <c r="M6649" s="9"/>
    </row>
    <row r="6650">
      <c r="J6650" s="9"/>
      <c r="K6650" s="9"/>
      <c r="L6650" s="9"/>
      <c r="M6650" s="9"/>
    </row>
    <row r="6651">
      <c r="J6651" s="9"/>
      <c r="K6651" s="9"/>
      <c r="L6651" s="9"/>
      <c r="M6651" s="9"/>
    </row>
    <row r="6652">
      <c r="J6652" s="9"/>
      <c r="K6652" s="9"/>
      <c r="L6652" s="9"/>
      <c r="M6652" s="9"/>
    </row>
    <row r="6653">
      <c r="J6653" s="9"/>
      <c r="K6653" s="9"/>
      <c r="L6653" s="9"/>
      <c r="M6653" s="9"/>
    </row>
    <row r="6654">
      <c r="J6654" s="9"/>
      <c r="K6654" s="9"/>
      <c r="L6654" s="9"/>
      <c r="M6654" s="9"/>
    </row>
    <row r="6655">
      <c r="J6655" s="9"/>
      <c r="K6655" s="9"/>
      <c r="L6655" s="9"/>
      <c r="M6655" s="9"/>
    </row>
    <row r="6656">
      <c r="J6656" s="9"/>
      <c r="K6656" s="9"/>
      <c r="L6656" s="9"/>
      <c r="M6656" s="9"/>
    </row>
    <row r="6657">
      <c r="J6657" s="9"/>
      <c r="K6657" s="9"/>
      <c r="L6657" s="9"/>
      <c r="M6657" s="9"/>
    </row>
    <row r="6658">
      <c r="J6658" s="9"/>
      <c r="K6658" s="9"/>
      <c r="L6658" s="9"/>
      <c r="M6658" s="9"/>
    </row>
    <row r="6659">
      <c r="J6659" s="9"/>
      <c r="K6659" s="9"/>
      <c r="L6659" s="9"/>
      <c r="M6659" s="9"/>
    </row>
    <row r="6660">
      <c r="J6660" s="9"/>
      <c r="K6660" s="9"/>
      <c r="L6660" s="9"/>
      <c r="M6660" s="9"/>
    </row>
    <row r="6661">
      <c r="J6661" s="9"/>
      <c r="K6661" s="9"/>
      <c r="L6661" s="9"/>
      <c r="M6661" s="9"/>
    </row>
    <row r="6662">
      <c r="J6662" s="9"/>
      <c r="K6662" s="9"/>
      <c r="L6662" s="9"/>
      <c r="M6662" s="9"/>
    </row>
    <row r="6663">
      <c r="J6663" s="9"/>
      <c r="K6663" s="9"/>
      <c r="L6663" s="9"/>
      <c r="M6663" s="9"/>
    </row>
    <row r="6664">
      <c r="J6664" s="9"/>
      <c r="K6664" s="9"/>
      <c r="L6664" s="9"/>
      <c r="M6664" s="9"/>
    </row>
    <row r="6665">
      <c r="J6665" s="9"/>
      <c r="K6665" s="9"/>
      <c r="L6665" s="9"/>
      <c r="M6665" s="9"/>
    </row>
    <row r="6666">
      <c r="J6666" s="9"/>
      <c r="K6666" s="9"/>
      <c r="L6666" s="9"/>
      <c r="M6666" s="9"/>
    </row>
    <row r="6667">
      <c r="J6667" s="9"/>
      <c r="K6667" s="9"/>
      <c r="L6667" s="9"/>
      <c r="M6667" s="9"/>
    </row>
    <row r="6668">
      <c r="J6668" s="9"/>
      <c r="K6668" s="9"/>
      <c r="L6668" s="9"/>
      <c r="M6668" s="9"/>
    </row>
    <row r="6669">
      <c r="J6669" s="9"/>
      <c r="K6669" s="9"/>
      <c r="L6669" s="9"/>
      <c r="M6669" s="9"/>
    </row>
    <row r="6670">
      <c r="J6670" s="9"/>
      <c r="K6670" s="9"/>
      <c r="L6670" s="9"/>
      <c r="M6670" s="9"/>
    </row>
    <row r="6671">
      <c r="J6671" s="9"/>
      <c r="K6671" s="9"/>
      <c r="L6671" s="9"/>
      <c r="M6671" s="9"/>
    </row>
    <row r="6672">
      <c r="J6672" s="9"/>
      <c r="K6672" s="9"/>
      <c r="L6672" s="9"/>
      <c r="M6672" s="9"/>
    </row>
    <row r="6673">
      <c r="J6673" s="9"/>
      <c r="K6673" s="9"/>
      <c r="L6673" s="9"/>
      <c r="M6673" s="9"/>
    </row>
    <row r="6674">
      <c r="J6674" s="9"/>
      <c r="K6674" s="9"/>
      <c r="L6674" s="9"/>
      <c r="M6674" s="9"/>
    </row>
    <row r="6675">
      <c r="J6675" s="9"/>
      <c r="K6675" s="9"/>
      <c r="L6675" s="9"/>
      <c r="M6675" s="9"/>
    </row>
    <row r="6676">
      <c r="J6676" s="9"/>
      <c r="K6676" s="9"/>
      <c r="L6676" s="9"/>
      <c r="M6676" s="9"/>
    </row>
    <row r="6677">
      <c r="J6677" s="9"/>
      <c r="K6677" s="9"/>
      <c r="L6677" s="9"/>
      <c r="M6677" s="9"/>
    </row>
    <row r="6678">
      <c r="J6678" s="9"/>
      <c r="K6678" s="9"/>
      <c r="L6678" s="9"/>
      <c r="M6678" s="9"/>
    </row>
    <row r="6679">
      <c r="J6679" s="9"/>
      <c r="K6679" s="9"/>
      <c r="L6679" s="9"/>
      <c r="M6679" s="9"/>
    </row>
    <row r="6680">
      <c r="J6680" s="9"/>
      <c r="K6680" s="9"/>
      <c r="L6680" s="9"/>
      <c r="M6680" s="9"/>
    </row>
    <row r="6681">
      <c r="J6681" s="9"/>
      <c r="K6681" s="9"/>
      <c r="L6681" s="9"/>
      <c r="M6681" s="9"/>
    </row>
    <row r="6682">
      <c r="J6682" s="9"/>
      <c r="K6682" s="9"/>
      <c r="L6682" s="9"/>
      <c r="M6682" s="9"/>
    </row>
    <row r="6683">
      <c r="J6683" s="9"/>
      <c r="K6683" s="9"/>
      <c r="L6683" s="9"/>
      <c r="M6683" s="9"/>
    </row>
    <row r="6684">
      <c r="J6684" s="9"/>
      <c r="K6684" s="9"/>
      <c r="L6684" s="9"/>
      <c r="M6684" s="9"/>
    </row>
    <row r="6685">
      <c r="J6685" s="9"/>
      <c r="K6685" s="9"/>
      <c r="L6685" s="9"/>
      <c r="M6685" s="9"/>
    </row>
    <row r="6686">
      <c r="J6686" s="9"/>
      <c r="K6686" s="9"/>
      <c r="L6686" s="9"/>
      <c r="M6686" s="9"/>
    </row>
    <row r="6687">
      <c r="J6687" s="9"/>
      <c r="K6687" s="9"/>
      <c r="L6687" s="9"/>
      <c r="M6687" s="9"/>
    </row>
    <row r="6688">
      <c r="J6688" s="9"/>
      <c r="K6688" s="9"/>
      <c r="L6688" s="9"/>
      <c r="M6688" s="9"/>
    </row>
    <row r="6689">
      <c r="J6689" s="9"/>
      <c r="K6689" s="9"/>
      <c r="L6689" s="9"/>
      <c r="M6689" s="9"/>
    </row>
    <row r="6690">
      <c r="J6690" s="9"/>
      <c r="K6690" s="9"/>
      <c r="L6690" s="9"/>
      <c r="M6690" s="9"/>
    </row>
    <row r="6691">
      <c r="J6691" s="9"/>
      <c r="K6691" s="9"/>
      <c r="L6691" s="9"/>
      <c r="M6691" s="9"/>
    </row>
    <row r="6692">
      <c r="J6692" s="9"/>
      <c r="K6692" s="9"/>
      <c r="L6692" s="9"/>
      <c r="M6692" s="9"/>
    </row>
    <row r="6693">
      <c r="J6693" s="9"/>
      <c r="K6693" s="9"/>
      <c r="L6693" s="9"/>
      <c r="M6693" s="9"/>
    </row>
    <row r="6694">
      <c r="J6694" s="9"/>
      <c r="K6694" s="9"/>
      <c r="L6694" s="9"/>
      <c r="M6694" s="9"/>
    </row>
    <row r="6695">
      <c r="J6695" s="9"/>
      <c r="K6695" s="9"/>
      <c r="L6695" s="9"/>
      <c r="M6695" s="9"/>
    </row>
    <row r="6696">
      <c r="J6696" s="9"/>
      <c r="K6696" s="9"/>
      <c r="L6696" s="9"/>
      <c r="M6696" s="9"/>
    </row>
    <row r="6697">
      <c r="J6697" s="9"/>
      <c r="K6697" s="9"/>
      <c r="L6697" s="9"/>
      <c r="M6697" s="9"/>
    </row>
    <row r="6698">
      <c r="J6698" s="9"/>
      <c r="K6698" s="9"/>
      <c r="L6698" s="9"/>
      <c r="M6698" s="9"/>
    </row>
    <row r="6699">
      <c r="J6699" s="9"/>
      <c r="K6699" s="9"/>
      <c r="L6699" s="9"/>
      <c r="M6699" s="9"/>
    </row>
    <row r="6700">
      <c r="J6700" s="9"/>
      <c r="K6700" s="9"/>
      <c r="L6700" s="9"/>
      <c r="M6700" s="9"/>
    </row>
    <row r="6701">
      <c r="J6701" s="9"/>
      <c r="K6701" s="9"/>
      <c r="L6701" s="9"/>
      <c r="M6701" s="9"/>
    </row>
    <row r="6702">
      <c r="J6702" s="9"/>
      <c r="K6702" s="9"/>
      <c r="L6702" s="9"/>
      <c r="M6702" s="9"/>
    </row>
    <row r="6703">
      <c r="J6703" s="9"/>
      <c r="K6703" s="9"/>
      <c r="L6703" s="9"/>
      <c r="M6703" s="9"/>
    </row>
    <row r="6704">
      <c r="J6704" s="9"/>
      <c r="K6704" s="9"/>
      <c r="L6704" s="9"/>
      <c r="M6704" s="9"/>
    </row>
    <row r="6705">
      <c r="J6705" s="9"/>
      <c r="K6705" s="9"/>
      <c r="L6705" s="9"/>
      <c r="M6705" s="9"/>
    </row>
    <row r="6706">
      <c r="J6706" s="9"/>
      <c r="K6706" s="9"/>
      <c r="L6706" s="9"/>
      <c r="M6706" s="9"/>
    </row>
    <row r="6707">
      <c r="J6707" s="9"/>
      <c r="K6707" s="9"/>
      <c r="L6707" s="9"/>
      <c r="M6707" s="9"/>
    </row>
    <row r="6708">
      <c r="J6708" s="9"/>
      <c r="K6708" s="9"/>
      <c r="L6708" s="9"/>
      <c r="M6708" s="9"/>
    </row>
    <row r="6709">
      <c r="J6709" s="9"/>
      <c r="K6709" s="9"/>
      <c r="L6709" s="9"/>
      <c r="M6709" s="9"/>
    </row>
    <row r="6710">
      <c r="J6710" s="9"/>
      <c r="K6710" s="9"/>
      <c r="L6710" s="9"/>
      <c r="M6710" s="9"/>
    </row>
    <row r="6711">
      <c r="J6711" s="9"/>
      <c r="K6711" s="9"/>
      <c r="L6711" s="9"/>
      <c r="M6711" s="9"/>
    </row>
    <row r="6712">
      <c r="J6712" s="9"/>
      <c r="K6712" s="9"/>
      <c r="L6712" s="9"/>
      <c r="M6712" s="9"/>
    </row>
    <row r="6713">
      <c r="J6713" s="9"/>
      <c r="K6713" s="9"/>
      <c r="L6713" s="9"/>
      <c r="M6713" s="9"/>
    </row>
    <row r="6714">
      <c r="J6714" s="9"/>
      <c r="K6714" s="9"/>
      <c r="L6714" s="9"/>
      <c r="M6714" s="9"/>
    </row>
    <row r="6715">
      <c r="J6715" s="9"/>
      <c r="K6715" s="9"/>
      <c r="L6715" s="9"/>
      <c r="M6715" s="9"/>
    </row>
    <row r="6716">
      <c r="J6716" s="9"/>
      <c r="K6716" s="9"/>
      <c r="L6716" s="9"/>
      <c r="M6716" s="9"/>
    </row>
    <row r="6717">
      <c r="J6717" s="9"/>
      <c r="K6717" s="9"/>
      <c r="L6717" s="9"/>
      <c r="M6717" s="9"/>
    </row>
    <row r="6718">
      <c r="J6718" s="9"/>
      <c r="K6718" s="9"/>
      <c r="L6718" s="9"/>
      <c r="M6718" s="9"/>
    </row>
    <row r="6719">
      <c r="J6719" s="9"/>
      <c r="K6719" s="9"/>
      <c r="L6719" s="9"/>
      <c r="M6719" s="9"/>
    </row>
    <row r="6720">
      <c r="J6720" s="9"/>
      <c r="K6720" s="9"/>
      <c r="L6720" s="9"/>
      <c r="M6720" s="9"/>
    </row>
    <row r="6721">
      <c r="J6721" s="9"/>
      <c r="K6721" s="9"/>
      <c r="L6721" s="9"/>
      <c r="M6721" s="9"/>
    </row>
    <row r="6722">
      <c r="J6722" s="9"/>
      <c r="K6722" s="9"/>
      <c r="L6722" s="9"/>
      <c r="M6722" s="9"/>
    </row>
    <row r="6723">
      <c r="J6723" s="9"/>
      <c r="K6723" s="9"/>
      <c r="L6723" s="9"/>
      <c r="M6723" s="9"/>
    </row>
    <row r="6724">
      <c r="J6724" s="9"/>
      <c r="K6724" s="9"/>
      <c r="L6724" s="9"/>
      <c r="M6724" s="9"/>
    </row>
    <row r="6725">
      <c r="J6725" s="9"/>
      <c r="K6725" s="9"/>
      <c r="L6725" s="9"/>
      <c r="M6725" s="9"/>
    </row>
    <row r="6726">
      <c r="J6726" s="9"/>
      <c r="K6726" s="9"/>
      <c r="L6726" s="9"/>
      <c r="M6726" s="9"/>
    </row>
    <row r="6727">
      <c r="J6727" s="9"/>
      <c r="K6727" s="9"/>
      <c r="L6727" s="9"/>
      <c r="M6727" s="9"/>
    </row>
    <row r="6728">
      <c r="J6728" s="9"/>
      <c r="K6728" s="9"/>
      <c r="L6728" s="9"/>
      <c r="M6728" s="9"/>
    </row>
    <row r="6729">
      <c r="J6729" s="9"/>
      <c r="K6729" s="9"/>
      <c r="L6729" s="9"/>
      <c r="M6729" s="9"/>
    </row>
    <row r="6730">
      <c r="J6730" s="9"/>
      <c r="K6730" s="9"/>
      <c r="L6730" s="9"/>
      <c r="M6730" s="9"/>
    </row>
    <row r="6731">
      <c r="J6731" s="9"/>
      <c r="K6731" s="9"/>
      <c r="L6731" s="9"/>
      <c r="M6731" s="9"/>
    </row>
    <row r="6732">
      <c r="J6732" s="9"/>
      <c r="K6732" s="9"/>
      <c r="L6732" s="9"/>
      <c r="M6732" s="9"/>
    </row>
    <row r="6733">
      <c r="J6733" s="9"/>
      <c r="K6733" s="9"/>
      <c r="L6733" s="9"/>
      <c r="M6733" s="9"/>
    </row>
    <row r="6734">
      <c r="J6734" s="9"/>
      <c r="K6734" s="9"/>
      <c r="L6734" s="9"/>
      <c r="M6734" s="9"/>
    </row>
    <row r="6735">
      <c r="J6735" s="9"/>
      <c r="K6735" s="9"/>
      <c r="L6735" s="9"/>
      <c r="M6735" s="9"/>
    </row>
    <row r="6736">
      <c r="J6736" s="9"/>
      <c r="K6736" s="9"/>
      <c r="L6736" s="9"/>
      <c r="M6736" s="9"/>
    </row>
    <row r="6737">
      <c r="J6737" s="9"/>
      <c r="K6737" s="9"/>
      <c r="L6737" s="9"/>
      <c r="M6737" s="9"/>
    </row>
    <row r="6738">
      <c r="J6738" s="9"/>
      <c r="K6738" s="9"/>
      <c r="L6738" s="9"/>
      <c r="M6738" s="9"/>
    </row>
    <row r="6739">
      <c r="J6739" s="9"/>
      <c r="K6739" s="9"/>
      <c r="L6739" s="9"/>
      <c r="M6739" s="9"/>
    </row>
    <row r="6740">
      <c r="J6740" s="9"/>
      <c r="K6740" s="9"/>
      <c r="L6740" s="9"/>
      <c r="M6740" s="9"/>
    </row>
    <row r="6741">
      <c r="J6741" s="9"/>
      <c r="K6741" s="9"/>
      <c r="L6741" s="9"/>
      <c r="M6741" s="9"/>
    </row>
    <row r="6742">
      <c r="J6742" s="9"/>
      <c r="K6742" s="9"/>
      <c r="L6742" s="9"/>
      <c r="M6742" s="9"/>
    </row>
    <row r="6743">
      <c r="J6743" s="9"/>
      <c r="K6743" s="9"/>
      <c r="L6743" s="9"/>
      <c r="M6743" s="9"/>
    </row>
    <row r="6744">
      <c r="J6744" s="9"/>
      <c r="K6744" s="9"/>
      <c r="L6744" s="9"/>
      <c r="M6744" s="9"/>
    </row>
    <row r="6745">
      <c r="J6745" s="9"/>
      <c r="K6745" s="9"/>
      <c r="L6745" s="9"/>
      <c r="M6745" s="9"/>
    </row>
    <row r="6746">
      <c r="J6746" s="9"/>
      <c r="K6746" s="9"/>
      <c r="L6746" s="9"/>
      <c r="M6746" s="9"/>
    </row>
    <row r="6747">
      <c r="J6747" s="9"/>
      <c r="K6747" s="9"/>
      <c r="L6747" s="9"/>
      <c r="M6747" s="9"/>
    </row>
    <row r="6748">
      <c r="J6748" s="9"/>
      <c r="K6748" s="9"/>
      <c r="L6748" s="9"/>
      <c r="M6748" s="9"/>
    </row>
    <row r="6749">
      <c r="J6749" s="9"/>
      <c r="K6749" s="9"/>
      <c r="L6749" s="9"/>
      <c r="M6749" s="9"/>
    </row>
    <row r="6750">
      <c r="J6750" s="9"/>
      <c r="K6750" s="9"/>
      <c r="L6750" s="9"/>
      <c r="M6750" s="9"/>
    </row>
    <row r="6751">
      <c r="J6751" s="9"/>
      <c r="K6751" s="9"/>
      <c r="L6751" s="9"/>
      <c r="M6751" s="9"/>
    </row>
    <row r="6752">
      <c r="J6752" s="9"/>
      <c r="K6752" s="9"/>
      <c r="L6752" s="9"/>
      <c r="M6752" s="9"/>
    </row>
    <row r="6753">
      <c r="J6753" s="9"/>
      <c r="K6753" s="9"/>
      <c r="L6753" s="9"/>
      <c r="M6753" s="9"/>
    </row>
    <row r="6754">
      <c r="J6754" s="9"/>
      <c r="K6754" s="9"/>
      <c r="L6754" s="9"/>
      <c r="M6754" s="9"/>
    </row>
    <row r="6755">
      <c r="J6755" s="9"/>
      <c r="K6755" s="9"/>
      <c r="L6755" s="9"/>
      <c r="M6755" s="9"/>
    </row>
    <row r="6756">
      <c r="J6756" s="9"/>
      <c r="K6756" s="9"/>
      <c r="L6756" s="9"/>
      <c r="M6756" s="9"/>
    </row>
    <row r="6757">
      <c r="J6757" s="9"/>
      <c r="K6757" s="9"/>
      <c r="L6757" s="9"/>
      <c r="M6757" s="9"/>
    </row>
    <row r="6758">
      <c r="J6758" s="9"/>
      <c r="K6758" s="9"/>
      <c r="L6758" s="9"/>
      <c r="M6758" s="9"/>
    </row>
    <row r="6759">
      <c r="J6759" s="9"/>
      <c r="K6759" s="9"/>
      <c r="L6759" s="9"/>
      <c r="M6759" s="9"/>
    </row>
    <row r="6760">
      <c r="J6760" s="9"/>
      <c r="K6760" s="9"/>
      <c r="L6760" s="9"/>
      <c r="M6760" s="9"/>
    </row>
    <row r="6761">
      <c r="J6761" s="9"/>
      <c r="K6761" s="9"/>
      <c r="L6761" s="9"/>
      <c r="M6761" s="9"/>
    </row>
    <row r="6762">
      <c r="J6762" s="9"/>
      <c r="K6762" s="9"/>
      <c r="L6762" s="9"/>
      <c r="M6762" s="9"/>
    </row>
    <row r="6763">
      <c r="J6763" s="9"/>
      <c r="K6763" s="9"/>
      <c r="L6763" s="9"/>
      <c r="M6763" s="9"/>
    </row>
    <row r="6764">
      <c r="J6764" s="9"/>
      <c r="K6764" s="9"/>
      <c r="L6764" s="9"/>
      <c r="M6764" s="9"/>
    </row>
    <row r="6765">
      <c r="J6765" s="9"/>
      <c r="K6765" s="9"/>
      <c r="L6765" s="9"/>
      <c r="M6765" s="9"/>
    </row>
    <row r="6766">
      <c r="J6766" s="9"/>
      <c r="K6766" s="9"/>
      <c r="L6766" s="9"/>
      <c r="M6766" s="9"/>
    </row>
    <row r="6767">
      <c r="J6767" s="9"/>
      <c r="K6767" s="9"/>
      <c r="L6767" s="9"/>
      <c r="M6767" s="9"/>
    </row>
    <row r="6768">
      <c r="J6768" s="9"/>
      <c r="K6768" s="9"/>
      <c r="L6768" s="9"/>
      <c r="M6768" s="9"/>
    </row>
    <row r="6769">
      <c r="J6769" s="9"/>
      <c r="K6769" s="9"/>
      <c r="L6769" s="9"/>
      <c r="M6769" s="9"/>
    </row>
    <row r="6770">
      <c r="J6770" s="9"/>
      <c r="K6770" s="9"/>
      <c r="L6770" s="9"/>
      <c r="M6770" s="9"/>
    </row>
    <row r="6771">
      <c r="J6771" s="9"/>
      <c r="K6771" s="9"/>
      <c r="L6771" s="9"/>
      <c r="M6771" s="9"/>
    </row>
    <row r="6772">
      <c r="J6772" s="9"/>
      <c r="K6772" s="9"/>
      <c r="L6772" s="9"/>
      <c r="M6772" s="9"/>
    </row>
    <row r="6773">
      <c r="J6773" s="9"/>
      <c r="K6773" s="9"/>
      <c r="L6773" s="9"/>
      <c r="M6773" s="9"/>
    </row>
    <row r="6774">
      <c r="J6774" s="9"/>
      <c r="K6774" s="9"/>
      <c r="L6774" s="9"/>
      <c r="M6774" s="9"/>
    </row>
    <row r="6775">
      <c r="J6775" s="9"/>
      <c r="K6775" s="9"/>
      <c r="L6775" s="9"/>
      <c r="M6775" s="9"/>
    </row>
    <row r="6776">
      <c r="J6776" s="9"/>
      <c r="K6776" s="9"/>
      <c r="L6776" s="9"/>
      <c r="M6776" s="9"/>
    </row>
    <row r="6777">
      <c r="J6777" s="9"/>
      <c r="K6777" s="9"/>
      <c r="L6777" s="9"/>
      <c r="M6777" s="9"/>
    </row>
    <row r="6778">
      <c r="J6778" s="9"/>
      <c r="K6778" s="9"/>
      <c r="L6778" s="9"/>
      <c r="M6778" s="9"/>
    </row>
    <row r="6779">
      <c r="J6779" s="9"/>
      <c r="K6779" s="9"/>
      <c r="L6779" s="9"/>
      <c r="M6779" s="9"/>
    </row>
    <row r="6780">
      <c r="J6780" s="9"/>
      <c r="K6780" s="9"/>
      <c r="L6780" s="9"/>
      <c r="M6780" s="9"/>
    </row>
    <row r="6781">
      <c r="J6781" s="9"/>
      <c r="K6781" s="9"/>
      <c r="L6781" s="9"/>
      <c r="M6781" s="9"/>
    </row>
    <row r="6782">
      <c r="J6782" s="9"/>
      <c r="K6782" s="9"/>
      <c r="L6782" s="9"/>
      <c r="M6782" s="9"/>
    </row>
    <row r="6783">
      <c r="J6783" s="9"/>
      <c r="K6783" s="9"/>
      <c r="L6783" s="9"/>
      <c r="M6783" s="9"/>
    </row>
    <row r="6784">
      <c r="J6784" s="9"/>
      <c r="K6784" s="9"/>
      <c r="L6784" s="9"/>
      <c r="M6784" s="9"/>
    </row>
    <row r="6785">
      <c r="J6785" s="9"/>
      <c r="K6785" s="9"/>
      <c r="L6785" s="9"/>
      <c r="M6785" s="9"/>
    </row>
    <row r="6786">
      <c r="J6786" s="9"/>
      <c r="K6786" s="9"/>
      <c r="L6786" s="9"/>
      <c r="M6786" s="9"/>
    </row>
    <row r="6787">
      <c r="J6787" s="9"/>
      <c r="K6787" s="9"/>
      <c r="L6787" s="9"/>
      <c r="M6787" s="9"/>
    </row>
    <row r="6788">
      <c r="J6788" s="9"/>
      <c r="K6788" s="9"/>
      <c r="L6788" s="9"/>
      <c r="M6788" s="9"/>
    </row>
    <row r="6789">
      <c r="J6789" s="9"/>
      <c r="K6789" s="9"/>
      <c r="L6789" s="9"/>
      <c r="M6789" s="9"/>
    </row>
    <row r="6790">
      <c r="J6790" s="9"/>
      <c r="K6790" s="9"/>
      <c r="L6790" s="9"/>
      <c r="M6790" s="9"/>
    </row>
    <row r="6791">
      <c r="J6791" s="9"/>
      <c r="K6791" s="9"/>
      <c r="L6791" s="9"/>
      <c r="M6791" s="9"/>
    </row>
    <row r="6792">
      <c r="J6792" s="9"/>
      <c r="K6792" s="9"/>
      <c r="L6792" s="9"/>
      <c r="M6792" s="9"/>
    </row>
    <row r="6793">
      <c r="J6793" s="9"/>
      <c r="K6793" s="9"/>
      <c r="L6793" s="9"/>
      <c r="M6793" s="9"/>
    </row>
    <row r="6794">
      <c r="J6794" s="9"/>
      <c r="K6794" s="9"/>
      <c r="L6794" s="9"/>
      <c r="M6794" s="9"/>
    </row>
    <row r="6795">
      <c r="J6795" s="9"/>
      <c r="K6795" s="9"/>
      <c r="L6795" s="9"/>
      <c r="M6795" s="9"/>
    </row>
    <row r="6796">
      <c r="J6796" s="9"/>
      <c r="K6796" s="9"/>
      <c r="L6796" s="9"/>
      <c r="M6796" s="9"/>
    </row>
    <row r="6797">
      <c r="J6797" s="9"/>
      <c r="K6797" s="9"/>
      <c r="L6797" s="9"/>
      <c r="M6797" s="9"/>
    </row>
    <row r="6798">
      <c r="J6798" s="9"/>
      <c r="K6798" s="9"/>
      <c r="L6798" s="9"/>
      <c r="M6798" s="9"/>
    </row>
    <row r="6799">
      <c r="J6799" s="9"/>
      <c r="K6799" s="9"/>
      <c r="L6799" s="9"/>
      <c r="M6799" s="9"/>
    </row>
    <row r="6800">
      <c r="J6800" s="9"/>
      <c r="K6800" s="9"/>
      <c r="L6800" s="9"/>
      <c r="M6800" s="9"/>
    </row>
    <row r="6801">
      <c r="J6801" s="9"/>
      <c r="K6801" s="9"/>
      <c r="L6801" s="9"/>
      <c r="M6801" s="9"/>
    </row>
    <row r="6802">
      <c r="J6802" s="9"/>
      <c r="K6802" s="9"/>
      <c r="L6802" s="9"/>
      <c r="M6802" s="9"/>
    </row>
    <row r="6803">
      <c r="J6803" s="9"/>
      <c r="K6803" s="9"/>
      <c r="L6803" s="9"/>
      <c r="M6803" s="9"/>
    </row>
    <row r="6804">
      <c r="J6804" s="9"/>
      <c r="K6804" s="9"/>
      <c r="L6804" s="9"/>
      <c r="M6804" s="9"/>
    </row>
    <row r="6805">
      <c r="J6805" s="9"/>
      <c r="K6805" s="9"/>
      <c r="L6805" s="9"/>
      <c r="M6805" s="9"/>
    </row>
    <row r="6806">
      <c r="J6806" s="9"/>
      <c r="K6806" s="9"/>
      <c r="L6806" s="9"/>
      <c r="M6806" s="9"/>
    </row>
    <row r="6807">
      <c r="J6807" s="9"/>
      <c r="K6807" s="9"/>
      <c r="L6807" s="9"/>
      <c r="M6807" s="9"/>
    </row>
    <row r="6808">
      <c r="J6808" s="9"/>
      <c r="K6808" s="9"/>
      <c r="L6808" s="9"/>
      <c r="M6808" s="9"/>
    </row>
    <row r="6809">
      <c r="J6809" s="9"/>
      <c r="K6809" s="9"/>
      <c r="L6809" s="9"/>
      <c r="M6809" s="9"/>
    </row>
    <row r="6810">
      <c r="J6810" s="9"/>
      <c r="K6810" s="9"/>
      <c r="L6810" s="9"/>
      <c r="M6810" s="9"/>
    </row>
    <row r="6811">
      <c r="J6811" s="9"/>
      <c r="K6811" s="9"/>
      <c r="L6811" s="9"/>
      <c r="M6811" s="9"/>
    </row>
    <row r="6812">
      <c r="J6812" s="9"/>
      <c r="K6812" s="9"/>
      <c r="L6812" s="9"/>
      <c r="M6812" s="9"/>
    </row>
    <row r="6813">
      <c r="J6813" s="9"/>
      <c r="K6813" s="9"/>
      <c r="L6813" s="9"/>
      <c r="M6813" s="9"/>
    </row>
    <row r="6814">
      <c r="J6814" s="9"/>
      <c r="K6814" s="9"/>
      <c r="L6814" s="9"/>
      <c r="M6814" s="9"/>
    </row>
    <row r="6815">
      <c r="J6815" s="9"/>
      <c r="K6815" s="9"/>
      <c r="L6815" s="9"/>
      <c r="M6815" s="9"/>
    </row>
    <row r="6816">
      <c r="J6816" s="9"/>
      <c r="K6816" s="9"/>
      <c r="L6816" s="9"/>
      <c r="M6816" s="9"/>
    </row>
    <row r="6817">
      <c r="J6817" s="9"/>
      <c r="K6817" s="9"/>
      <c r="L6817" s="9"/>
      <c r="M6817" s="9"/>
    </row>
    <row r="6818">
      <c r="J6818" s="9"/>
      <c r="K6818" s="9"/>
      <c r="L6818" s="9"/>
      <c r="M6818" s="9"/>
    </row>
    <row r="6819">
      <c r="J6819" s="9"/>
      <c r="K6819" s="9"/>
      <c r="L6819" s="9"/>
      <c r="M6819" s="9"/>
    </row>
    <row r="6820">
      <c r="J6820" s="9"/>
      <c r="K6820" s="9"/>
      <c r="L6820" s="9"/>
      <c r="M6820" s="9"/>
    </row>
    <row r="6821">
      <c r="J6821" s="9"/>
      <c r="K6821" s="9"/>
      <c r="L6821" s="9"/>
      <c r="M6821" s="9"/>
    </row>
    <row r="6822">
      <c r="J6822" s="9"/>
      <c r="K6822" s="9"/>
      <c r="L6822" s="9"/>
      <c r="M6822" s="9"/>
    </row>
    <row r="6823">
      <c r="J6823" s="9"/>
      <c r="K6823" s="9"/>
      <c r="L6823" s="9"/>
      <c r="M6823" s="9"/>
    </row>
    <row r="6824">
      <c r="J6824" s="9"/>
      <c r="K6824" s="9"/>
      <c r="L6824" s="9"/>
      <c r="M6824" s="9"/>
    </row>
    <row r="6825">
      <c r="J6825" s="9"/>
      <c r="K6825" s="9"/>
      <c r="L6825" s="9"/>
      <c r="M6825" s="9"/>
    </row>
    <row r="6826">
      <c r="J6826" s="9"/>
      <c r="K6826" s="9"/>
      <c r="L6826" s="9"/>
      <c r="M6826" s="9"/>
    </row>
    <row r="6827">
      <c r="J6827" s="9"/>
      <c r="K6827" s="9"/>
      <c r="L6827" s="9"/>
      <c r="M6827" s="9"/>
    </row>
    <row r="6828">
      <c r="J6828" s="9"/>
      <c r="K6828" s="9"/>
      <c r="L6828" s="9"/>
      <c r="M6828" s="9"/>
    </row>
    <row r="6829">
      <c r="J6829" s="9"/>
      <c r="K6829" s="9"/>
      <c r="L6829" s="9"/>
      <c r="M6829" s="9"/>
    </row>
    <row r="6830">
      <c r="J6830" s="9"/>
      <c r="K6830" s="9"/>
      <c r="L6830" s="9"/>
      <c r="M6830" s="9"/>
    </row>
    <row r="6831">
      <c r="J6831" s="9"/>
      <c r="K6831" s="9"/>
      <c r="L6831" s="9"/>
      <c r="M6831" s="9"/>
    </row>
    <row r="6832">
      <c r="J6832" s="9"/>
      <c r="K6832" s="9"/>
      <c r="L6832" s="9"/>
      <c r="M6832" s="9"/>
    </row>
    <row r="6833">
      <c r="J6833" s="9"/>
      <c r="K6833" s="9"/>
      <c r="L6833" s="9"/>
      <c r="M6833" s="9"/>
    </row>
    <row r="6834">
      <c r="J6834" s="9"/>
      <c r="K6834" s="9"/>
      <c r="L6834" s="9"/>
      <c r="M6834" s="9"/>
    </row>
    <row r="6835">
      <c r="J6835" s="9"/>
      <c r="K6835" s="9"/>
      <c r="L6835" s="9"/>
      <c r="M6835" s="9"/>
    </row>
    <row r="6836">
      <c r="J6836" s="9"/>
      <c r="K6836" s="9"/>
      <c r="L6836" s="9"/>
      <c r="M6836" s="9"/>
    </row>
    <row r="6837">
      <c r="J6837" s="9"/>
      <c r="K6837" s="9"/>
      <c r="L6837" s="9"/>
      <c r="M6837" s="9"/>
    </row>
    <row r="6838">
      <c r="J6838" s="9"/>
      <c r="K6838" s="9"/>
      <c r="L6838" s="9"/>
      <c r="M6838" s="9"/>
    </row>
    <row r="6839">
      <c r="J6839" s="9"/>
      <c r="K6839" s="9"/>
      <c r="L6839" s="9"/>
      <c r="M6839" s="9"/>
    </row>
    <row r="6840">
      <c r="J6840" s="9"/>
      <c r="K6840" s="9"/>
      <c r="L6840" s="9"/>
      <c r="M6840" s="9"/>
    </row>
    <row r="6841">
      <c r="J6841" s="9"/>
      <c r="K6841" s="9"/>
      <c r="L6841" s="9"/>
      <c r="M6841" s="9"/>
    </row>
    <row r="6842">
      <c r="J6842" s="9"/>
      <c r="K6842" s="9"/>
      <c r="L6842" s="9"/>
      <c r="M6842" s="9"/>
    </row>
    <row r="6843">
      <c r="J6843" s="9"/>
      <c r="K6843" s="9"/>
      <c r="L6843" s="9"/>
      <c r="M6843" s="9"/>
    </row>
    <row r="6844">
      <c r="J6844" s="9"/>
      <c r="K6844" s="9"/>
      <c r="L6844" s="9"/>
      <c r="M6844" s="9"/>
    </row>
    <row r="6845">
      <c r="J6845" s="9"/>
      <c r="K6845" s="9"/>
      <c r="L6845" s="9"/>
      <c r="M6845" s="9"/>
    </row>
    <row r="6846">
      <c r="J6846" s="9"/>
      <c r="K6846" s="9"/>
      <c r="L6846" s="9"/>
      <c r="M6846" s="9"/>
    </row>
    <row r="6847">
      <c r="J6847" s="9"/>
      <c r="K6847" s="9"/>
      <c r="L6847" s="9"/>
      <c r="M6847" s="9"/>
    </row>
    <row r="6848">
      <c r="J6848" s="9"/>
      <c r="K6848" s="9"/>
      <c r="L6848" s="9"/>
      <c r="M6848" s="9"/>
    </row>
    <row r="6849">
      <c r="J6849" s="9"/>
      <c r="K6849" s="9"/>
      <c r="L6849" s="9"/>
      <c r="M6849" s="9"/>
    </row>
    <row r="6850">
      <c r="J6850" s="9"/>
      <c r="K6850" s="9"/>
      <c r="L6850" s="9"/>
      <c r="M6850" s="9"/>
    </row>
    <row r="6851">
      <c r="J6851" s="9"/>
      <c r="K6851" s="9"/>
      <c r="L6851" s="9"/>
      <c r="M6851" s="9"/>
    </row>
    <row r="6852">
      <c r="J6852" s="9"/>
      <c r="K6852" s="9"/>
      <c r="L6852" s="9"/>
      <c r="M6852" s="9"/>
    </row>
    <row r="6853">
      <c r="J6853" s="9"/>
      <c r="K6853" s="9"/>
      <c r="L6853" s="9"/>
      <c r="M6853" s="9"/>
    </row>
    <row r="6854">
      <c r="J6854" s="9"/>
      <c r="K6854" s="9"/>
      <c r="L6854" s="9"/>
      <c r="M6854" s="9"/>
    </row>
    <row r="6855">
      <c r="J6855" s="9"/>
      <c r="K6855" s="9"/>
      <c r="L6855" s="9"/>
      <c r="M6855" s="9"/>
    </row>
    <row r="6856">
      <c r="J6856" s="9"/>
      <c r="K6856" s="9"/>
      <c r="L6856" s="9"/>
      <c r="M6856" s="9"/>
    </row>
    <row r="6857">
      <c r="J6857" s="9"/>
      <c r="K6857" s="9"/>
      <c r="L6857" s="9"/>
      <c r="M6857" s="9"/>
    </row>
    <row r="6858">
      <c r="J6858" s="9"/>
      <c r="K6858" s="9"/>
      <c r="L6858" s="9"/>
      <c r="M6858" s="9"/>
    </row>
    <row r="6859">
      <c r="J6859" s="9"/>
      <c r="K6859" s="9"/>
      <c r="L6859" s="9"/>
      <c r="M6859" s="9"/>
    </row>
    <row r="6860">
      <c r="J6860" s="9"/>
      <c r="K6860" s="9"/>
      <c r="L6860" s="9"/>
      <c r="M6860" s="9"/>
    </row>
    <row r="6861">
      <c r="J6861" s="9"/>
      <c r="K6861" s="9"/>
      <c r="L6861" s="9"/>
      <c r="M6861" s="9"/>
    </row>
    <row r="6862">
      <c r="J6862" s="9"/>
      <c r="K6862" s="9"/>
      <c r="L6862" s="9"/>
      <c r="M6862" s="9"/>
    </row>
    <row r="6863">
      <c r="J6863" s="9"/>
      <c r="K6863" s="9"/>
      <c r="L6863" s="9"/>
      <c r="M6863" s="9"/>
    </row>
    <row r="6864">
      <c r="J6864" s="9"/>
      <c r="K6864" s="9"/>
      <c r="L6864" s="9"/>
      <c r="M6864" s="9"/>
    </row>
    <row r="6865">
      <c r="J6865" s="9"/>
      <c r="K6865" s="9"/>
      <c r="L6865" s="9"/>
      <c r="M6865" s="9"/>
    </row>
    <row r="6866">
      <c r="J6866" s="9"/>
      <c r="K6866" s="9"/>
      <c r="L6866" s="9"/>
      <c r="M6866" s="9"/>
    </row>
    <row r="6867">
      <c r="J6867" s="9"/>
      <c r="K6867" s="9"/>
      <c r="L6867" s="9"/>
      <c r="M6867" s="9"/>
    </row>
    <row r="6868">
      <c r="J6868" s="9"/>
      <c r="K6868" s="9"/>
      <c r="L6868" s="9"/>
      <c r="M6868" s="9"/>
    </row>
    <row r="6869">
      <c r="J6869" s="9"/>
      <c r="K6869" s="9"/>
      <c r="L6869" s="9"/>
      <c r="M6869" s="9"/>
    </row>
    <row r="6870">
      <c r="J6870" s="9"/>
      <c r="K6870" s="9"/>
      <c r="L6870" s="9"/>
      <c r="M6870" s="9"/>
    </row>
    <row r="6871">
      <c r="J6871" s="9"/>
      <c r="K6871" s="9"/>
      <c r="L6871" s="9"/>
      <c r="M6871" s="9"/>
    </row>
    <row r="6872">
      <c r="J6872" s="9"/>
      <c r="K6872" s="9"/>
      <c r="L6872" s="9"/>
      <c r="M6872" s="9"/>
    </row>
    <row r="6873">
      <c r="J6873" s="9"/>
      <c r="K6873" s="9"/>
      <c r="L6873" s="9"/>
      <c r="M6873" s="9"/>
    </row>
    <row r="6874">
      <c r="J6874" s="9"/>
      <c r="K6874" s="9"/>
      <c r="L6874" s="9"/>
      <c r="M6874" s="9"/>
    </row>
    <row r="6875">
      <c r="J6875" s="9"/>
      <c r="K6875" s="9"/>
      <c r="L6875" s="9"/>
      <c r="M6875" s="9"/>
    </row>
    <row r="6876">
      <c r="J6876" s="9"/>
      <c r="K6876" s="9"/>
      <c r="L6876" s="9"/>
      <c r="M6876" s="9"/>
    </row>
    <row r="6877">
      <c r="J6877" s="9"/>
      <c r="K6877" s="9"/>
      <c r="L6877" s="9"/>
      <c r="M6877" s="9"/>
    </row>
    <row r="6878">
      <c r="J6878" s="9"/>
      <c r="K6878" s="9"/>
      <c r="L6878" s="9"/>
      <c r="M6878" s="9"/>
    </row>
    <row r="6879">
      <c r="J6879" s="9"/>
      <c r="K6879" s="9"/>
      <c r="L6879" s="9"/>
      <c r="M6879" s="9"/>
    </row>
    <row r="6880">
      <c r="J6880" s="9"/>
      <c r="K6880" s="9"/>
      <c r="L6880" s="9"/>
      <c r="M6880" s="9"/>
    </row>
    <row r="6881">
      <c r="J6881" s="9"/>
      <c r="K6881" s="9"/>
      <c r="L6881" s="9"/>
      <c r="M6881" s="9"/>
    </row>
    <row r="6882">
      <c r="J6882" s="9"/>
      <c r="K6882" s="9"/>
      <c r="L6882" s="9"/>
      <c r="M6882" s="9"/>
    </row>
    <row r="6883">
      <c r="J6883" s="9"/>
      <c r="K6883" s="9"/>
      <c r="L6883" s="9"/>
      <c r="M6883" s="9"/>
    </row>
    <row r="6884">
      <c r="J6884" s="9"/>
      <c r="K6884" s="9"/>
      <c r="L6884" s="9"/>
      <c r="M6884" s="9"/>
    </row>
    <row r="6885">
      <c r="J6885" s="9"/>
      <c r="K6885" s="9"/>
      <c r="L6885" s="9"/>
      <c r="M6885" s="9"/>
    </row>
    <row r="6886">
      <c r="J6886" s="9"/>
      <c r="K6886" s="9"/>
      <c r="L6886" s="9"/>
      <c r="M6886" s="9"/>
    </row>
    <row r="6887">
      <c r="J6887" s="9"/>
      <c r="K6887" s="9"/>
      <c r="L6887" s="9"/>
      <c r="M6887" s="9"/>
    </row>
    <row r="6888">
      <c r="J6888" s="9"/>
      <c r="K6888" s="9"/>
      <c r="L6888" s="9"/>
      <c r="M6888" s="9"/>
    </row>
    <row r="6889">
      <c r="J6889" s="9"/>
      <c r="K6889" s="9"/>
      <c r="L6889" s="9"/>
      <c r="M6889" s="9"/>
    </row>
    <row r="6890">
      <c r="J6890" s="9"/>
      <c r="K6890" s="9"/>
      <c r="L6890" s="9"/>
      <c r="M6890" s="9"/>
    </row>
    <row r="6891">
      <c r="J6891" s="9"/>
      <c r="K6891" s="9"/>
      <c r="L6891" s="9"/>
      <c r="M6891" s="9"/>
    </row>
    <row r="6892">
      <c r="J6892" s="9"/>
      <c r="K6892" s="9"/>
      <c r="L6892" s="9"/>
      <c r="M6892" s="9"/>
    </row>
    <row r="6893">
      <c r="J6893" s="9"/>
      <c r="K6893" s="9"/>
      <c r="L6893" s="9"/>
      <c r="M6893" s="9"/>
    </row>
    <row r="6894">
      <c r="J6894" s="9"/>
      <c r="K6894" s="9"/>
      <c r="L6894" s="9"/>
      <c r="M6894" s="9"/>
    </row>
    <row r="6895">
      <c r="J6895" s="9"/>
      <c r="K6895" s="9"/>
      <c r="L6895" s="9"/>
      <c r="M6895" s="9"/>
    </row>
    <row r="6896">
      <c r="J6896" s="9"/>
      <c r="K6896" s="9"/>
      <c r="L6896" s="9"/>
      <c r="M6896" s="9"/>
    </row>
    <row r="6897">
      <c r="J6897" s="9"/>
      <c r="K6897" s="9"/>
      <c r="L6897" s="9"/>
      <c r="M6897" s="9"/>
    </row>
    <row r="6898">
      <c r="J6898" s="9"/>
      <c r="K6898" s="9"/>
      <c r="L6898" s="9"/>
      <c r="M6898" s="9"/>
    </row>
    <row r="6899">
      <c r="J6899" s="9"/>
      <c r="K6899" s="9"/>
      <c r="L6899" s="9"/>
      <c r="M6899" s="9"/>
    </row>
    <row r="6900">
      <c r="J6900" s="9"/>
      <c r="K6900" s="9"/>
      <c r="L6900" s="9"/>
      <c r="M6900" s="9"/>
    </row>
    <row r="6901">
      <c r="J6901" s="9"/>
      <c r="K6901" s="9"/>
      <c r="L6901" s="9"/>
      <c r="M6901" s="9"/>
    </row>
    <row r="6902">
      <c r="J6902" s="9"/>
      <c r="K6902" s="9"/>
      <c r="L6902" s="9"/>
      <c r="M6902" s="9"/>
    </row>
    <row r="6903">
      <c r="J6903" s="9"/>
      <c r="K6903" s="9"/>
      <c r="L6903" s="9"/>
      <c r="M6903" s="9"/>
    </row>
    <row r="6904">
      <c r="J6904" s="9"/>
      <c r="K6904" s="9"/>
      <c r="L6904" s="9"/>
      <c r="M6904" s="9"/>
    </row>
    <row r="6905">
      <c r="J6905" s="9"/>
      <c r="K6905" s="9"/>
      <c r="L6905" s="9"/>
      <c r="M6905" s="9"/>
    </row>
    <row r="6906">
      <c r="J6906" s="9"/>
      <c r="K6906" s="9"/>
      <c r="L6906" s="9"/>
      <c r="M6906" s="9"/>
    </row>
    <row r="6907">
      <c r="J6907" s="9"/>
      <c r="K6907" s="9"/>
      <c r="L6907" s="9"/>
      <c r="M6907" s="9"/>
    </row>
    <row r="6908">
      <c r="J6908" s="9"/>
      <c r="K6908" s="9"/>
      <c r="L6908" s="9"/>
      <c r="M6908" s="9"/>
    </row>
    <row r="6909">
      <c r="J6909" s="9"/>
      <c r="K6909" s="9"/>
      <c r="L6909" s="9"/>
      <c r="M6909" s="9"/>
    </row>
    <row r="6910">
      <c r="J6910" s="9"/>
      <c r="K6910" s="9"/>
      <c r="L6910" s="9"/>
      <c r="M6910" s="9"/>
    </row>
    <row r="6911">
      <c r="J6911" s="9"/>
      <c r="K6911" s="9"/>
      <c r="L6911" s="9"/>
      <c r="M6911" s="9"/>
    </row>
    <row r="6912">
      <c r="J6912" s="9"/>
      <c r="K6912" s="9"/>
      <c r="L6912" s="9"/>
      <c r="M6912" s="9"/>
    </row>
    <row r="6913">
      <c r="J6913" s="9"/>
      <c r="K6913" s="9"/>
      <c r="L6913" s="9"/>
      <c r="M6913" s="9"/>
    </row>
    <row r="6914">
      <c r="J6914" s="9"/>
      <c r="K6914" s="9"/>
      <c r="L6914" s="9"/>
      <c r="M6914" s="9"/>
    </row>
    <row r="6915">
      <c r="J6915" s="9"/>
      <c r="K6915" s="9"/>
      <c r="L6915" s="9"/>
      <c r="M6915" s="9"/>
    </row>
    <row r="6916">
      <c r="J6916" s="9"/>
      <c r="K6916" s="9"/>
      <c r="L6916" s="9"/>
      <c r="M6916" s="9"/>
    </row>
    <row r="6917">
      <c r="J6917" s="9"/>
      <c r="K6917" s="9"/>
      <c r="L6917" s="9"/>
      <c r="M6917" s="9"/>
    </row>
    <row r="6918">
      <c r="J6918" s="9"/>
      <c r="K6918" s="9"/>
      <c r="L6918" s="9"/>
      <c r="M6918" s="9"/>
    </row>
    <row r="6919">
      <c r="J6919" s="9"/>
      <c r="K6919" s="9"/>
      <c r="L6919" s="9"/>
      <c r="M6919" s="9"/>
    </row>
    <row r="6920">
      <c r="J6920" s="9"/>
      <c r="K6920" s="9"/>
      <c r="L6920" s="9"/>
      <c r="M6920" s="9"/>
    </row>
    <row r="6921">
      <c r="J6921" s="9"/>
      <c r="K6921" s="9"/>
      <c r="L6921" s="9"/>
      <c r="M6921" s="9"/>
    </row>
    <row r="6922">
      <c r="J6922" s="9"/>
      <c r="K6922" s="9"/>
      <c r="L6922" s="9"/>
      <c r="M6922" s="9"/>
    </row>
    <row r="6923">
      <c r="J6923" s="9"/>
      <c r="K6923" s="9"/>
      <c r="L6923" s="9"/>
      <c r="M6923" s="9"/>
    </row>
    <row r="6924">
      <c r="J6924" s="9"/>
      <c r="K6924" s="9"/>
      <c r="L6924" s="9"/>
      <c r="M6924" s="9"/>
    </row>
    <row r="6925">
      <c r="J6925" s="9"/>
      <c r="K6925" s="9"/>
      <c r="L6925" s="9"/>
      <c r="M6925" s="9"/>
    </row>
    <row r="6926">
      <c r="J6926" s="9"/>
      <c r="K6926" s="9"/>
      <c r="L6926" s="9"/>
      <c r="M6926" s="9"/>
    </row>
    <row r="6927">
      <c r="J6927" s="9"/>
      <c r="K6927" s="9"/>
      <c r="L6927" s="9"/>
      <c r="M6927" s="9"/>
    </row>
    <row r="6928">
      <c r="J6928" s="9"/>
      <c r="K6928" s="9"/>
      <c r="L6928" s="9"/>
      <c r="M6928" s="9"/>
    </row>
    <row r="6929">
      <c r="J6929" s="9"/>
      <c r="K6929" s="9"/>
      <c r="L6929" s="9"/>
      <c r="M6929" s="9"/>
    </row>
    <row r="6930">
      <c r="J6930" s="9"/>
      <c r="K6930" s="9"/>
      <c r="L6930" s="9"/>
      <c r="M6930" s="9"/>
    </row>
    <row r="6931">
      <c r="J6931" s="9"/>
      <c r="K6931" s="9"/>
      <c r="L6931" s="9"/>
      <c r="M6931" s="9"/>
    </row>
    <row r="6932">
      <c r="J6932" s="9"/>
      <c r="K6932" s="9"/>
      <c r="L6932" s="9"/>
      <c r="M6932" s="9"/>
    </row>
    <row r="6933">
      <c r="J6933" s="9"/>
      <c r="K6933" s="9"/>
      <c r="L6933" s="9"/>
      <c r="M6933" s="9"/>
    </row>
    <row r="6934">
      <c r="J6934" s="9"/>
      <c r="K6934" s="9"/>
      <c r="L6934" s="9"/>
      <c r="M6934" s="9"/>
    </row>
    <row r="6935">
      <c r="J6935" s="9"/>
      <c r="K6935" s="9"/>
      <c r="L6935" s="9"/>
      <c r="M6935" s="9"/>
    </row>
    <row r="6936">
      <c r="J6936" s="9"/>
      <c r="K6936" s="9"/>
      <c r="L6936" s="9"/>
      <c r="M6936" s="9"/>
    </row>
    <row r="6937">
      <c r="J6937" s="9"/>
      <c r="K6937" s="9"/>
      <c r="L6937" s="9"/>
      <c r="M6937" s="9"/>
    </row>
    <row r="6938">
      <c r="J6938" s="9"/>
      <c r="K6938" s="9"/>
      <c r="L6938" s="9"/>
      <c r="M6938" s="9"/>
    </row>
    <row r="6939">
      <c r="J6939" s="9"/>
      <c r="K6939" s="9"/>
      <c r="L6939" s="9"/>
      <c r="M6939" s="9"/>
    </row>
    <row r="6940">
      <c r="J6940" s="9"/>
      <c r="K6940" s="9"/>
      <c r="L6940" s="9"/>
      <c r="M6940" s="9"/>
    </row>
    <row r="6941">
      <c r="J6941" s="9"/>
      <c r="K6941" s="9"/>
      <c r="L6941" s="9"/>
      <c r="M6941" s="9"/>
    </row>
    <row r="6942">
      <c r="J6942" s="9"/>
      <c r="K6942" s="9"/>
      <c r="L6942" s="9"/>
      <c r="M6942" s="9"/>
    </row>
    <row r="6943">
      <c r="J6943" s="9"/>
      <c r="K6943" s="9"/>
      <c r="L6943" s="9"/>
      <c r="M6943" s="9"/>
    </row>
    <row r="6944">
      <c r="J6944" s="9"/>
      <c r="K6944" s="9"/>
      <c r="L6944" s="9"/>
      <c r="M6944" s="9"/>
    </row>
    <row r="6945">
      <c r="J6945" s="9"/>
      <c r="K6945" s="9"/>
      <c r="L6945" s="9"/>
      <c r="M6945" s="9"/>
    </row>
    <row r="6946">
      <c r="J6946" s="9"/>
      <c r="K6946" s="9"/>
      <c r="L6946" s="9"/>
      <c r="M6946" s="9"/>
    </row>
    <row r="6947">
      <c r="J6947" s="9"/>
      <c r="K6947" s="9"/>
      <c r="L6947" s="9"/>
      <c r="M6947" s="9"/>
    </row>
    <row r="6948">
      <c r="J6948" s="9"/>
      <c r="K6948" s="9"/>
      <c r="L6948" s="9"/>
      <c r="M6948" s="9"/>
    </row>
    <row r="6949">
      <c r="J6949" s="9"/>
      <c r="K6949" s="9"/>
      <c r="L6949" s="9"/>
      <c r="M6949" s="9"/>
    </row>
    <row r="6950">
      <c r="J6950" s="9"/>
      <c r="K6950" s="9"/>
      <c r="L6950" s="9"/>
      <c r="M6950" s="9"/>
    </row>
    <row r="6951">
      <c r="J6951" s="9"/>
      <c r="K6951" s="9"/>
      <c r="L6951" s="9"/>
      <c r="M6951" s="9"/>
    </row>
    <row r="6952">
      <c r="J6952" s="9"/>
      <c r="K6952" s="9"/>
      <c r="L6952" s="9"/>
      <c r="M6952" s="9"/>
    </row>
    <row r="6953">
      <c r="J6953" s="9"/>
      <c r="K6953" s="9"/>
      <c r="L6953" s="9"/>
      <c r="M6953" s="9"/>
    </row>
    <row r="6954">
      <c r="J6954" s="9"/>
      <c r="K6954" s="9"/>
      <c r="L6954" s="9"/>
      <c r="M6954" s="9"/>
    </row>
    <row r="6955">
      <c r="J6955" s="9"/>
      <c r="K6955" s="9"/>
      <c r="L6955" s="9"/>
      <c r="M6955" s="9"/>
    </row>
    <row r="6956">
      <c r="J6956" s="9"/>
      <c r="K6956" s="9"/>
      <c r="L6956" s="9"/>
      <c r="M6956" s="9"/>
    </row>
    <row r="6957">
      <c r="J6957" s="9"/>
      <c r="K6957" s="9"/>
      <c r="L6957" s="9"/>
      <c r="M6957" s="9"/>
    </row>
    <row r="6958">
      <c r="J6958" s="9"/>
      <c r="K6958" s="9"/>
      <c r="L6958" s="9"/>
      <c r="M6958" s="9"/>
    </row>
    <row r="6959">
      <c r="J6959" s="9"/>
      <c r="K6959" s="9"/>
      <c r="L6959" s="9"/>
      <c r="M6959" s="9"/>
    </row>
    <row r="6960">
      <c r="J6960" s="9"/>
      <c r="K6960" s="9"/>
      <c r="L6960" s="9"/>
      <c r="M6960" s="9"/>
    </row>
    <row r="6961">
      <c r="J6961" s="9"/>
      <c r="K6961" s="9"/>
      <c r="L6961" s="9"/>
      <c r="M6961" s="9"/>
    </row>
    <row r="6962">
      <c r="J6962" s="9"/>
      <c r="K6962" s="9"/>
      <c r="L6962" s="9"/>
      <c r="M6962" s="9"/>
    </row>
    <row r="6963">
      <c r="J6963" s="9"/>
      <c r="K6963" s="9"/>
      <c r="L6963" s="9"/>
      <c r="M6963" s="9"/>
    </row>
    <row r="6964">
      <c r="J6964" s="9"/>
      <c r="K6964" s="9"/>
      <c r="L6964" s="9"/>
      <c r="M6964" s="9"/>
    </row>
    <row r="6965">
      <c r="J6965" s="9"/>
      <c r="K6965" s="9"/>
      <c r="L6965" s="9"/>
      <c r="M6965" s="9"/>
    </row>
    <row r="6966">
      <c r="J6966" s="9"/>
      <c r="K6966" s="9"/>
      <c r="L6966" s="9"/>
      <c r="M6966" s="9"/>
    </row>
    <row r="6967">
      <c r="J6967" s="9"/>
      <c r="K6967" s="9"/>
      <c r="L6967" s="9"/>
      <c r="M6967" s="9"/>
    </row>
    <row r="6968">
      <c r="J6968" s="9"/>
      <c r="K6968" s="9"/>
      <c r="L6968" s="9"/>
      <c r="M6968" s="9"/>
    </row>
    <row r="6969">
      <c r="J6969" s="9"/>
      <c r="K6969" s="9"/>
      <c r="L6969" s="9"/>
      <c r="M6969" s="9"/>
    </row>
    <row r="6970">
      <c r="J6970" s="9"/>
      <c r="K6970" s="9"/>
      <c r="L6970" s="9"/>
      <c r="M6970" s="9"/>
    </row>
    <row r="6971">
      <c r="J6971" s="9"/>
      <c r="K6971" s="9"/>
      <c r="L6971" s="9"/>
      <c r="M6971" s="9"/>
    </row>
    <row r="6972">
      <c r="J6972" s="9"/>
      <c r="K6972" s="9"/>
      <c r="L6972" s="9"/>
      <c r="M6972" s="9"/>
    </row>
    <row r="6973">
      <c r="J6973" s="9"/>
      <c r="K6973" s="9"/>
      <c r="L6973" s="9"/>
      <c r="M6973" s="9"/>
    </row>
    <row r="6974">
      <c r="J6974" s="9"/>
      <c r="K6974" s="9"/>
      <c r="L6974" s="9"/>
      <c r="M6974" s="9"/>
    </row>
    <row r="6975">
      <c r="J6975" s="9"/>
      <c r="K6975" s="9"/>
      <c r="L6975" s="9"/>
      <c r="M6975" s="9"/>
    </row>
    <row r="6976">
      <c r="J6976" s="9"/>
      <c r="K6976" s="9"/>
      <c r="L6976" s="9"/>
      <c r="M6976" s="9"/>
    </row>
    <row r="6977">
      <c r="J6977" s="9"/>
      <c r="K6977" s="9"/>
      <c r="L6977" s="9"/>
      <c r="M6977" s="9"/>
    </row>
    <row r="6978">
      <c r="J6978" s="9"/>
      <c r="K6978" s="9"/>
      <c r="L6978" s="9"/>
      <c r="M6978" s="9"/>
    </row>
    <row r="6979">
      <c r="J6979" s="9"/>
      <c r="K6979" s="9"/>
      <c r="L6979" s="9"/>
      <c r="M6979" s="9"/>
    </row>
    <row r="6980">
      <c r="J6980" s="9"/>
      <c r="K6980" s="9"/>
      <c r="L6980" s="9"/>
      <c r="M6980" s="9"/>
    </row>
    <row r="6981">
      <c r="J6981" s="9"/>
      <c r="K6981" s="9"/>
      <c r="L6981" s="9"/>
      <c r="M6981" s="9"/>
    </row>
    <row r="6982">
      <c r="J6982" s="9"/>
      <c r="K6982" s="9"/>
      <c r="L6982" s="9"/>
      <c r="M6982" s="9"/>
    </row>
    <row r="6983">
      <c r="J6983" s="9"/>
      <c r="K6983" s="9"/>
      <c r="L6983" s="9"/>
      <c r="M6983" s="9"/>
    </row>
    <row r="6984">
      <c r="J6984" s="9"/>
      <c r="K6984" s="9"/>
      <c r="L6984" s="9"/>
      <c r="M6984" s="9"/>
    </row>
    <row r="6985">
      <c r="J6985" s="9"/>
      <c r="K6985" s="9"/>
      <c r="L6985" s="9"/>
      <c r="M6985" s="9"/>
    </row>
    <row r="6986">
      <c r="J6986" s="9"/>
      <c r="K6986" s="9"/>
      <c r="L6986" s="9"/>
      <c r="M6986" s="9"/>
    </row>
    <row r="6987">
      <c r="J6987" s="9"/>
      <c r="K6987" s="9"/>
      <c r="L6987" s="9"/>
      <c r="M6987" s="9"/>
    </row>
    <row r="6988">
      <c r="J6988" s="9"/>
      <c r="K6988" s="9"/>
      <c r="L6988" s="9"/>
      <c r="M6988" s="9"/>
    </row>
    <row r="6989">
      <c r="J6989" s="9"/>
      <c r="K6989" s="9"/>
      <c r="L6989" s="9"/>
      <c r="M6989" s="9"/>
    </row>
    <row r="6990">
      <c r="J6990" s="9"/>
      <c r="K6990" s="9"/>
      <c r="L6990" s="9"/>
      <c r="M6990" s="9"/>
    </row>
    <row r="6991">
      <c r="J6991" s="9"/>
      <c r="K6991" s="9"/>
      <c r="L6991" s="9"/>
      <c r="M6991" s="9"/>
    </row>
    <row r="6992">
      <c r="J6992" s="9"/>
      <c r="K6992" s="9"/>
      <c r="L6992" s="9"/>
      <c r="M6992" s="9"/>
    </row>
    <row r="6993">
      <c r="J6993" s="9"/>
      <c r="K6993" s="9"/>
      <c r="L6993" s="9"/>
      <c r="M6993" s="9"/>
    </row>
    <row r="6994">
      <c r="J6994" s="9"/>
      <c r="K6994" s="9"/>
      <c r="L6994" s="9"/>
      <c r="M6994" s="9"/>
    </row>
    <row r="6995">
      <c r="J6995" s="9"/>
      <c r="K6995" s="9"/>
      <c r="L6995" s="9"/>
      <c r="M6995" s="9"/>
    </row>
    <row r="6996">
      <c r="J6996" s="9"/>
      <c r="K6996" s="9"/>
      <c r="L6996" s="9"/>
      <c r="M6996" s="9"/>
    </row>
    <row r="6997">
      <c r="J6997" s="9"/>
      <c r="K6997" s="9"/>
      <c r="L6997" s="9"/>
      <c r="M6997" s="9"/>
    </row>
    <row r="6998">
      <c r="J6998" s="9"/>
      <c r="K6998" s="9"/>
      <c r="L6998" s="9"/>
      <c r="M6998" s="9"/>
    </row>
    <row r="6999">
      <c r="J6999" s="9"/>
      <c r="K6999" s="9"/>
      <c r="L6999" s="9"/>
      <c r="M6999" s="9"/>
    </row>
    <row r="7000">
      <c r="J7000" s="9"/>
      <c r="K7000" s="9"/>
      <c r="L7000" s="9"/>
      <c r="M7000" s="9"/>
    </row>
    <row r="7001">
      <c r="J7001" s="9"/>
      <c r="K7001" s="9"/>
      <c r="L7001" s="9"/>
      <c r="M7001" s="9"/>
    </row>
    <row r="7002">
      <c r="J7002" s="9"/>
      <c r="K7002" s="9"/>
      <c r="L7002" s="9"/>
      <c r="M7002" s="9"/>
    </row>
    <row r="7003">
      <c r="J7003" s="9"/>
      <c r="K7003" s="9"/>
      <c r="L7003" s="9"/>
      <c r="M7003" s="9"/>
    </row>
    <row r="7004">
      <c r="J7004" s="9"/>
      <c r="K7004" s="9"/>
      <c r="L7004" s="9"/>
      <c r="M7004" s="9"/>
    </row>
    <row r="7005">
      <c r="J7005" s="9"/>
      <c r="K7005" s="9"/>
      <c r="L7005" s="9"/>
      <c r="M7005" s="9"/>
    </row>
    <row r="7006">
      <c r="J7006" s="9"/>
      <c r="K7006" s="9"/>
      <c r="L7006" s="9"/>
      <c r="M7006" s="9"/>
    </row>
    <row r="7007">
      <c r="J7007" s="9"/>
      <c r="K7007" s="9"/>
      <c r="L7007" s="9"/>
      <c r="M7007" s="9"/>
    </row>
    <row r="7008">
      <c r="J7008" s="9"/>
      <c r="K7008" s="9"/>
      <c r="L7008" s="9"/>
      <c r="M7008" s="9"/>
    </row>
    <row r="7009">
      <c r="J7009" s="9"/>
      <c r="K7009" s="9"/>
      <c r="L7009" s="9"/>
      <c r="M7009" s="9"/>
    </row>
    <row r="7010">
      <c r="J7010" s="9"/>
      <c r="K7010" s="9"/>
      <c r="L7010" s="9"/>
      <c r="M7010" s="9"/>
    </row>
    <row r="7011">
      <c r="J7011" s="9"/>
      <c r="K7011" s="9"/>
      <c r="L7011" s="9"/>
      <c r="M7011" s="9"/>
    </row>
    <row r="7012">
      <c r="J7012" s="9"/>
      <c r="K7012" s="9"/>
      <c r="L7012" s="9"/>
      <c r="M7012" s="9"/>
    </row>
    <row r="7013">
      <c r="J7013" s="9"/>
      <c r="K7013" s="9"/>
      <c r="L7013" s="9"/>
      <c r="M7013" s="9"/>
    </row>
    <row r="7014">
      <c r="J7014" s="9"/>
      <c r="K7014" s="9"/>
      <c r="L7014" s="9"/>
      <c r="M7014" s="9"/>
    </row>
    <row r="7015">
      <c r="J7015" s="9"/>
      <c r="K7015" s="9"/>
      <c r="L7015" s="9"/>
      <c r="M7015" s="9"/>
    </row>
    <row r="7016">
      <c r="J7016" s="9"/>
      <c r="K7016" s="9"/>
      <c r="L7016" s="9"/>
      <c r="M7016" s="9"/>
    </row>
    <row r="7017">
      <c r="J7017" s="9"/>
      <c r="K7017" s="9"/>
      <c r="L7017" s="9"/>
      <c r="M7017" s="9"/>
    </row>
    <row r="7018">
      <c r="J7018" s="9"/>
      <c r="K7018" s="9"/>
      <c r="L7018" s="9"/>
      <c r="M7018" s="9"/>
    </row>
    <row r="7019">
      <c r="J7019" s="9"/>
      <c r="K7019" s="9"/>
      <c r="L7019" s="9"/>
      <c r="M7019" s="9"/>
    </row>
    <row r="7020">
      <c r="J7020" s="9"/>
      <c r="K7020" s="9"/>
      <c r="L7020" s="9"/>
      <c r="M7020" s="9"/>
    </row>
    <row r="7021">
      <c r="J7021" s="9"/>
      <c r="K7021" s="9"/>
      <c r="L7021" s="9"/>
      <c r="M7021" s="9"/>
    </row>
    <row r="7022">
      <c r="J7022" s="9"/>
      <c r="K7022" s="9"/>
      <c r="L7022" s="9"/>
      <c r="M7022" s="9"/>
    </row>
    <row r="7023">
      <c r="J7023" s="9"/>
      <c r="K7023" s="9"/>
      <c r="L7023" s="9"/>
      <c r="M7023" s="9"/>
    </row>
    <row r="7024">
      <c r="J7024" s="9"/>
      <c r="K7024" s="9"/>
      <c r="L7024" s="9"/>
      <c r="M7024" s="9"/>
    </row>
    <row r="7025">
      <c r="J7025" s="9"/>
      <c r="K7025" s="9"/>
      <c r="L7025" s="9"/>
      <c r="M7025" s="9"/>
    </row>
    <row r="7026">
      <c r="J7026" s="9"/>
      <c r="K7026" s="9"/>
      <c r="L7026" s="9"/>
      <c r="M7026" s="9"/>
    </row>
    <row r="7027">
      <c r="J7027" s="9"/>
      <c r="K7027" s="9"/>
      <c r="L7027" s="9"/>
      <c r="M7027" s="9"/>
    </row>
    <row r="7028">
      <c r="J7028" s="9"/>
      <c r="K7028" s="9"/>
      <c r="L7028" s="9"/>
      <c r="M7028" s="9"/>
    </row>
    <row r="7029">
      <c r="J7029" s="9"/>
      <c r="K7029" s="9"/>
      <c r="L7029" s="9"/>
      <c r="M7029" s="9"/>
    </row>
    <row r="7030">
      <c r="J7030" s="9"/>
      <c r="K7030" s="9"/>
      <c r="L7030" s="9"/>
      <c r="M7030" s="9"/>
    </row>
    <row r="7031">
      <c r="J7031" s="9"/>
      <c r="K7031" s="9"/>
      <c r="L7031" s="9"/>
      <c r="M7031" s="9"/>
    </row>
    <row r="7032">
      <c r="J7032" s="9"/>
      <c r="K7032" s="9"/>
      <c r="L7032" s="9"/>
      <c r="M7032" s="9"/>
    </row>
    <row r="7033">
      <c r="J7033" s="9"/>
      <c r="K7033" s="9"/>
      <c r="L7033" s="9"/>
      <c r="M7033" s="9"/>
    </row>
    <row r="7034">
      <c r="J7034" s="9"/>
      <c r="K7034" s="9"/>
      <c r="L7034" s="9"/>
      <c r="M7034" s="9"/>
    </row>
    <row r="7035">
      <c r="J7035" s="9"/>
      <c r="K7035" s="9"/>
      <c r="L7035" s="9"/>
      <c r="M7035" s="9"/>
    </row>
    <row r="7036">
      <c r="J7036" s="9"/>
      <c r="K7036" s="9"/>
      <c r="L7036" s="9"/>
      <c r="M7036" s="9"/>
    </row>
    <row r="7037">
      <c r="J7037" s="9"/>
      <c r="K7037" s="9"/>
      <c r="L7037" s="9"/>
      <c r="M7037" s="9"/>
    </row>
    <row r="7038">
      <c r="J7038" s="9"/>
      <c r="K7038" s="9"/>
      <c r="L7038" s="9"/>
      <c r="M7038" s="9"/>
    </row>
    <row r="7039">
      <c r="J7039" s="9"/>
      <c r="K7039" s="9"/>
      <c r="L7039" s="9"/>
      <c r="M7039" s="9"/>
    </row>
    <row r="7040">
      <c r="J7040" s="9"/>
      <c r="K7040" s="9"/>
      <c r="L7040" s="9"/>
      <c r="M7040" s="9"/>
    </row>
    <row r="7041">
      <c r="J7041" s="9"/>
      <c r="K7041" s="9"/>
      <c r="L7041" s="9"/>
      <c r="M7041" s="9"/>
    </row>
    <row r="7042">
      <c r="J7042" s="9"/>
      <c r="K7042" s="9"/>
      <c r="L7042" s="9"/>
      <c r="M7042" s="9"/>
    </row>
    <row r="7043">
      <c r="J7043" s="9"/>
      <c r="K7043" s="9"/>
      <c r="L7043" s="9"/>
      <c r="M7043" s="9"/>
    </row>
    <row r="7044">
      <c r="J7044" s="9"/>
      <c r="K7044" s="9"/>
      <c r="L7044" s="9"/>
      <c r="M7044" s="9"/>
    </row>
    <row r="7045">
      <c r="J7045" s="9"/>
      <c r="K7045" s="9"/>
      <c r="L7045" s="9"/>
      <c r="M7045" s="9"/>
    </row>
    <row r="7046">
      <c r="J7046" s="9"/>
      <c r="K7046" s="9"/>
      <c r="L7046" s="9"/>
      <c r="M7046" s="9"/>
    </row>
    <row r="7047">
      <c r="J7047" s="9"/>
      <c r="K7047" s="9"/>
      <c r="L7047" s="9"/>
      <c r="M7047" s="9"/>
    </row>
    <row r="7048">
      <c r="J7048" s="9"/>
      <c r="K7048" s="9"/>
      <c r="L7048" s="9"/>
      <c r="M7048" s="9"/>
    </row>
    <row r="7049">
      <c r="J7049" s="9"/>
      <c r="K7049" s="9"/>
      <c r="L7049" s="9"/>
      <c r="M7049" s="9"/>
    </row>
    <row r="7050">
      <c r="J7050" s="9"/>
      <c r="K7050" s="9"/>
      <c r="L7050" s="9"/>
      <c r="M7050" s="9"/>
    </row>
    <row r="7051">
      <c r="J7051" s="9"/>
      <c r="K7051" s="9"/>
      <c r="L7051" s="9"/>
      <c r="M7051" s="9"/>
    </row>
    <row r="7052">
      <c r="J7052" s="9"/>
      <c r="K7052" s="9"/>
      <c r="L7052" s="9"/>
      <c r="M7052" s="9"/>
    </row>
    <row r="7053">
      <c r="J7053" s="9"/>
      <c r="K7053" s="9"/>
      <c r="L7053" s="9"/>
      <c r="M7053" s="9"/>
    </row>
    <row r="7054">
      <c r="J7054" s="9"/>
      <c r="K7054" s="9"/>
      <c r="L7054" s="9"/>
      <c r="M7054" s="9"/>
    </row>
    <row r="7055">
      <c r="J7055" s="9"/>
      <c r="K7055" s="9"/>
      <c r="L7055" s="9"/>
      <c r="M7055" s="9"/>
    </row>
    <row r="7056">
      <c r="J7056" s="9"/>
      <c r="K7056" s="9"/>
      <c r="L7056" s="9"/>
      <c r="M7056" s="9"/>
    </row>
    <row r="7057">
      <c r="J7057" s="9"/>
      <c r="K7057" s="9"/>
      <c r="L7057" s="9"/>
      <c r="M7057" s="9"/>
    </row>
    <row r="7058">
      <c r="J7058" s="9"/>
      <c r="K7058" s="9"/>
      <c r="L7058" s="9"/>
      <c r="M7058" s="9"/>
    </row>
    <row r="7059">
      <c r="J7059" s="9"/>
      <c r="K7059" s="9"/>
      <c r="L7059" s="9"/>
      <c r="M7059" s="9"/>
    </row>
    <row r="7060">
      <c r="J7060" s="9"/>
      <c r="K7060" s="9"/>
      <c r="L7060" s="9"/>
      <c r="M7060" s="9"/>
    </row>
    <row r="7061">
      <c r="J7061" s="9"/>
      <c r="K7061" s="9"/>
      <c r="L7061" s="9"/>
      <c r="M7061" s="9"/>
    </row>
    <row r="7062">
      <c r="J7062" s="9"/>
      <c r="K7062" s="9"/>
      <c r="L7062" s="9"/>
      <c r="M7062" s="9"/>
    </row>
    <row r="7063">
      <c r="J7063" s="9"/>
      <c r="K7063" s="9"/>
      <c r="L7063" s="9"/>
      <c r="M7063" s="9"/>
    </row>
    <row r="7064">
      <c r="J7064" s="9"/>
      <c r="K7064" s="9"/>
      <c r="L7064" s="9"/>
      <c r="M7064" s="9"/>
    </row>
    <row r="7065">
      <c r="J7065" s="9"/>
      <c r="K7065" s="9"/>
      <c r="L7065" s="9"/>
      <c r="M7065" s="9"/>
    </row>
    <row r="7066">
      <c r="J7066" s="9"/>
      <c r="K7066" s="9"/>
      <c r="L7066" s="9"/>
      <c r="M7066" s="9"/>
    </row>
    <row r="7067">
      <c r="J7067" s="9"/>
      <c r="K7067" s="9"/>
      <c r="L7067" s="9"/>
      <c r="M7067" s="9"/>
    </row>
    <row r="7068">
      <c r="J7068" s="9"/>
      <c r="K7068" s="9"/>
      <c r="L7068" s="9"/>
      <c r="M7068" s="9"/>
    </row>
    <row r="7069">
      <c r="J7069" s="9"/>
      <c r="K7069" s="9"/>
      <c r="L7069" s="9"/>
      <c r="M7069" s="9"/>
    </row>
    <row r="7070">
      <c r="J7070" s="9"/>
      <c r="K7070" s="9"/>
      <c r="L7070" s="9"/>
      <c r="M7070" s="9"/>
    </row>
    <row r="7071">
      <c r="J7071" s="9"/>
      <c r="K7071" s="9"/>
      <c r="L7071" s="9"/>
      <c r="M7071" s="9"/>
    </row>
    <row r="7072">
      <c r="J7072" s="9"/>
      <c r="K7072" s="9"/>
      <c r="L7072" s="9"/>
      <c r="M7072" s="9"/>
    </row>
    <row r="7073">
      <c r="J7073" s="9"/>
      <c r="K7073" s="9"/>
      <c r="L7073" s="9"/>
      <c r="M7073" s="9"/>
    </row>
    <row r="7074">
      <c r="J7074" s="9"/>
      <c r="K7074" s="9"/>
      <c r="L7074" s="9"/>
      <c r="M7074" s="9"/>
    </row>
    <row r="7075">
      <c r="J7075" s="9"/>
      <c r="K7075" s="9"/>
      <c r="L7075" s="9"/>
      <c r="M7075" s="9"/>
    </row>
    <row r="7076">
      <c r="J7076" s="9"/>
      <c r="K7076" s="9"/>
      <c r="L7076" s="9"/>
      <c r="M7076" s="9"/>
    </row>
    <row r="7077">
      <c r="J7077" s="9"/>
      <c r="K7077" s="9"/>
      <c r="L7077" s="9"/>
      <c r="M7077" s="9"/>
    </row>
    <row r="7078">
      <c r="J7078" s="9"/>
      <c r="K7078" s="9"/>
      <c r="L7078" s="9"/>
      <c r="M7078" s="9"/>
    </row>
    <row r="7079">
      <c r="J7079" s="9"/>
      <c r="K7079" s="9"/>
      <c r="L7079" s="9"/>
      <c r="M7079" s="9"/>
    </row>
    <row r="7080">
      <c r="J7080" s="9"/>
      <c r="K7080" s="9"/>
      <c r="L7080" s="9"/>
      <c r="M7080" s="9"/>
    </row>
    <row r="7081">
      <c r="J7081" s="9"/>
      <c r="K7081" s="9"/>
      <c r="L7081" s="9"/>
      <c r="M7081" s="9"/>
    </row>
    <row r="7082">
      <c r="J7082" s="9"/>
      <c r="K7082" s="9"/>
      <c r="L7082" s="9"/>
      <c r="M7082" s="9"/>
    </row>
    <row r="7083">
      <c r="J7083" s="9"/>
      <c r="K7083" s="9"/>
      <c r="L7083" s="9"/>
      <c r="M7083" s="9"/>
    </row>
    <row r="7084">
      <c r="J7084" s="9"/>
      <c r="K7084" s="9"/>
      <c r="L7084" s="9"/>
      <c r="M7084" s="9"/>
    </row>
    <row r="7085">
      <c r="J7085" s="9"/>
      <c r="K7085" s="9"/>
      <c r="L7085" s="9"/>
      <c r="M7085" s="9"/>
    </row>
    <row r="7086">
      <c r="J7086" s="9"/>
      <c r="K7086" s="9"/>
      <c r="L7086" s="9"/>
      <c r="M7086" s="9"/>
    </row>
    <row r="7087">
      <c r="J7087" s="9"/>
      <c r="K7087" s="9"/>
      <c r="L7087" s="9"/>
      <c r="M7087" s="9"/>
    </row>
    <row r="7088">
      <c r="J7088" s="9"/>
      <c r="K7088" s="9"/>
      <c r="L7088" s="9"/>
      <c r="M7088" s="9"/>
    </row>
    <row r="7089">
      <c r="J7089" s="9"/>
      <c r="K7089" s="9"/>
      <c r="L7089" s="9"/>
      <c r="M7089" s="9"/>
    </row>
    <row r="7090">
      <c r="J7090" s="9"/>
      <c r="K7090" s="9"/>
      <c r="L7090" s="9"/>
      <c r="M7090" s="9"/>
    </row>
    <row r="7091">
      <c r="J7091" s="9"/>
      <c r="K7091" s="9"/>
      <c r="L7091" s="9"/>
      <c r="M7091" s="9"/>
    </row>
    <row r="7092">
      <c r="J7092" s="9"/>
      <c r="K7092" s="9"/>
      <c r="L7092" s="9"/>
      <c r="M7092" s="9"/>
    </row>
    <row r="7093">
      <c r="J7093" s="9"/>
      <c r="K7093" s="9"/>
      <c r="L7093" s="9"/>
      <c r="M7093" s="9"/>
    </row>
    <row r="7094">
      <c r="J7094" s="9"/>
      <c r="K7094" s="9"/>
      <c r="L7094" s="9"/>
      <c r="M7094" s="9"/>
    </row>
    <row r="7095">
      <c r="J7095" s="9"/>
      <c r="K7095" s="9"/>
      <c r="L7095" s="9"/>
      <c r="M7095" s="9"/>
    </row>
    <row r="7096">
      <c r="J7096" s="9"/>
      <c r="K7096" s="9"/>
      <c r="L7096" s="9"/>
      <c r="M7096" s="9"/>
    </row>
    <row r="7097">
      <c r="J7097" s="9"/>
      <c r="K7097" s="9"/>
      <c r="L7097" s="9"/>
      <c r="M7097" s="9"/>
    </row>
    <row r="7098">
      <c r="J7098" s="9"/>
      <c r="K7098" s="9"/>
      <c r="L7098" s="9"/>
      <c r="M7098" s="9"/>
    </row>
    <row r="7099">
      <c r="J7099" s="9"/>
      <c r="K7099" s="9"/>
      <c r="L7099" s="9"/>
      <c r="M7099" s="9"/>
    </row>
    <row r="7100">
      <c r="J7100" s="9"/>
      <c r="K7100" s="9"/>
      <c r="L7100" s="9"/>
      <c r="M7100" s="9"/>
    </row>
    <row r="7101">
      <c r="J7101" s="9"/>
      <c r="K7101" s="9"/>
      <c r="L7101" s="9"/>
      <c r="M7101" s="9"/>
    </row>
    <row r="7102">
      <c r="J7102" s="9"/>
      <c r="K7102" s="9"/>
      <c r="L7102" s="9"/>
      <c r="M7102" s="9"/>
    </row>
    <row r="7103">
      <c r="J7103" s="9"/>
      <c r="K7103" s="9"/>
      <c r="L7103" s="9"/>
      <c r="M7103" s="9"/>
    </row>
    <row r="7104">
      <c r="J7104" s="9"/>
      <c r="K7104" s="9"/>
      <c r="L7104" s="9"/>
      <c r="M7104" s="9"/>
    </row>
    <row r="7105">
      <c r="J7105" s="9"/>
      <c r="K7105" s="9"/>
      <c r="L7105" s="9"/>
      <c r="M7105" s="9"/>
    </row>
    <row r="7106">
      <c r="J7106" s="9"/>
      <c r="K7106" s="9"/>
      <c r="L7106" s="9"/>
      <c r="M7106" s="9"/>
    </row>
    <row r="7107">
      <c r="J7107" s="9"/>
      <c r="K7107" s="9"/>
      <c r="L7107" s="9"/>
      <c r="M7107" s="9"/>
    </row>
    <row r="7108">
      <c r="J7108" s="9"/>
      <c r="K7108" s="9"/>
      <c r="L7108" s="9"/>
      <c r="M7108" s="9"/>
    </row>
    <row r="7109">
      <c r="J7109" s="9"/>
      <c r="K7109" s="9"/>
      <c r="L7109" s="9"/>
      <c r="M7109" s="9"/>
    </row>
    <row r="7110">
      <c r="J7110" s="9"/>
      <c r="K7110" s="9"/>
      <c r="L7110" s="9"/>
      <c r="M7110" s="9"/>
    </row>
    <row r="7111">
      <c r="J7111" s="9"/>
      <c r="K7111" s="9"/>
      <c r="L7111" s="9"/>
      <c r="M7111" s="9"/>
    </row>
    <row r="7112">
      <c r="J7112" s="9"/>
      <c r="K7112" s="9"/>
      <c r="L7112" s="9"/>
      <c r="M7112" s="9"/>
    </row>
    <row r="7113">
      <c r="J7113" s="9"/>
      <c r="K7113" s="9"/>
      <c r="L7113" s="9"/>
      <c r="M7113" s="9"/>
    </row>
    <row r="7114">
      <c r="J7114" s="9"/>
      <c r="K7114" s="9"/>
      <c r="L7114" s="9"/>
      <c r="M7114" s="9"/>
    </row>
    <row r="7115">
      <c r="J7115" s="9"/>
      <c r="K7115" s="9"/>
      <c r="L7115" s="9"/>
      <c r="M7115" s="9"/>
    </row>
    <row r="7116">
      <c r="J7116" s="9"/>
      <c r="K7116" s="9"/>
      <c r="L7116" s="9"/>
      <c r="M7116" s="9"/>
    </row>
    <row r="7117">
      <c r="J7117" s="9"/>
      <c r="K7117" s="9"/>
      <c r="L7117" s="9"/>
      <c r="M7117" s="9"/>
    </row>
    <row r="7118">
      <c r="J7118" s="9"/>
      <c r="K7118" s="9"/>
      <c r="L7118" s="9"/>
      <c r="M7118" s="9"/>
    </row>
    <row r="7119">
      <c r="J7119" s="9"/>
      <c r="K7119" s="9"/>
      <c r="L7119" s="9"/>
      <c r="M7119" s="9"/>
    </row>
    <row r="7120">
      <c r="J7120" s="9"/>
      <c r="K7120" s="9"/>
      <c r="L7120" s="9"/>
      <c r="M7120" s="9"/>
    </row>
    <row r="7121">
      <c r="J7121" s="9"/>
      <c r="K7121" s="9"/>
      <c r="L7121" s="9"/>
      <c r="M7121" s="9"/>
    </row>
    <row r="7122">
      <c r="J7122" s="9"/>
      <c r="K7122" s="9"/>
      <c r="L7122" s="9"/>
      <c r="M7122" s="9"/>
    </row>
    <row r="7123">
      <c r="J7123" s="9"/>
      <c r="K7123" s="9"/>
      <c r="L7123" s="9"/>
      <c r="M7123" s="9"/>
    </row>
    <row r="7124">
      <c r="J7124" s="9"/>
      <c r="K7124" s="9"/>
      <c r="L7124" s="9"/>
      <c r="M7124" s="9"/>
    </row>
    <row r="7125">
      <c r="J7125" s="9"/>
      <c r="K7125" s="9"/>
      <c r="L7125" s="9"/>
      <c r="M7125" s="9"/>
    </row>
    <row r="7126">
      <c r="J7126" s="9"/>
      <c r="K7126" s="9"/>
      <c r="L7126" s="9"/>
      <c r="M7126" s="9"/>
    </row>
    <row r="7127">
      <c r="J7127" s="9"/>
      <c r="K7127" s="9"/>
      <c r="L7127" s="9"/>
      <c r="M7127" s="9"/>
    </row>
    <row r="7128">
      <c r="J7128" s="9"/>
      <c r="K7128" s="9"/>
      <c r="L7128" s="9"/>
      <c r="M7128" s="9"/>
    </row>
    <row r="7129">
      <c r="J7129" s="9"/>
      <c r="K7129" s="9"/>
      <c r="L7129" s="9"/>
      <c r="M7129" s="9"/>
    </row>
    <row r="7130">
      <c r="J7130" s="9"/>
      <c r="K7130" s="9"/>
      <c r="L7130" s="9"/>
      <c r="M7130" s="9"/>
    </row>
    <row r="7131">
      <c r="J7131" s="9"/>
      <c r="K7131" s="9"/>
      <c r="L7131" s="9"/>
      <c r="M7131" s="9"/>
    </row>
    <row r="7132">
      <c r="J7132" s="9"/>
      <c r="K7132" s="9"/>
      <c r="L7132" s="9"/>
      <c r="M7132" s="9"/>
    </row>
    <row r="7133">
      <c r="J7133" s="9"/>
      <c r="K7133" s="9"/>
      <c r="L7133" s="9"/>
      <c r="M7133" s="9"/>
    </row>
    <row r="7134">
      <c r="J7134" s="9"/>
      <c r="K7134" s="9"/>
      <c r="L7134" s="9"/>
      <c r="M7134" s="9"/>
    </row>
    <row r="7135">
      <c r="J7135" s="9"/>
      <c r="K7135" s="9"/>
      <c r="L7135" s="9"/>
      <c r="M7135" s="9"/>
    </row>
    <row r="7136">
      <c r="J7136" s="9"/>
      <c r="K7136" s="9"/>
      <c r="L7136" s="9"/>
      <c r="M7136" s="9"/>
    </row>
    <row r="7137">
      <c r="J7137" s="9"/>
      <c r="K7137" s="9"/>
      <c r="L7137" s="9"/>
      <c r="M7137" s="9"/>
    </row>
    <row r="7138">
      <c r="J7138" s="9"/>
      <c r="K7138" s="9"/>
      <c r="L7138" s="9"/>
      <c r="M7138" s="9"/>
    </row>
    <row r="7139">
      <c r="J7139" s="9"/>
      <c r="K7139" s="9"/>
      <c r="L7139" s="9"/>
      <c r="M7139" s="9"/>
    </row>
    <row r="7140">
      <c r="J7140" s="9"/>
      <c r="K7140" s="9"/>
      <c r="L7140" s="9"/>
      <c r="M7140" s="9"/>
    </row>
    <row r="7141">
      <c r="J7141" s="9"/>
      <c r="K7141" s="9"/>
      <c r="L7141" s="9"/>
      <c r="M7141" s="9"/>
    </row>
    <row r="7142">
      <c r="J7142" s="9"/>
      <c r="K7142" s="9"/>
      <c r="L7142" s="9"/>
      <c r="M7142" s="9"/>
    </row>
    <row r="7143">
      <c r="J7143" s="9"/>
      <c r="K7143" s="9"/>
      <c r="L7143" s="9"/>
      <c r="M7143" s="9"/>
    </row>
    <row r="7144">
      <c r="J7144" s="9"/>
      <c r="K7144" s="9"/>
      <c r="L7144" s="9"/>
      <c r="M7144" s="9"/>
    </row>
    <row r="7145">
      <c r="J7145" s="9"/>
      <c r="K7145" s="9"/>
      <c r="L7145" s="9"/>
      <c r="M7145" s="9"/>
    </row>
    <row r="7146">
      <c r="J7146" s="9"/>
      <c r="K7146" s="9"/>
      <c r="L7146" s="9"/>
      <c r="M7146" s="9"/>
    </row>
    <row r="7147">
      <c r="J7147" s="9"/>
      <c r="K7147" s="9"/>
      <c r="L7147" s="9"/>
      <c r="M7147" s="9"/>
    </row>
    <row r="7148">
      <c r="J7148" s="9"/>
      <c r="K7148" s="9"/>
      <c r="L7148" s="9"/>
      <c r="M7148" s="9"/>
    </row>
    <row r="7149">
      <c r="J7149" s="9"/>
      <c r="K7149" s="9"/>
      <c r="L7149" s="9"/>
      <c r="M7149" s="9"/>
    </row>
    <row r="7150">
      <c r="J7150" s="9"/>
      <c r="K7150" s="9"/>
      <c r="L7150" s="9"/>
      <c r="M7150" s="9"/>
    </row>
    <row r="7151">
      <c r="J7151" s="9"/>
      <c r="K7151" s="9"/>
      <c r="L7151" s="9"/>
      <c r="M7151" s="9"/>
    </row>
    <row r="7152">
      <c r="J7152" s="9"/>
      <c r="K7152" s="9"/>
      <c r="L7152" s="9"/>
      <c r="M7152" s="9"/>
    </row>
    <row r="7153">
      <c r="J7153" s="9"/>
      <c r="K7153" s="9"/>
      <c r="L7153" s="9"/>
      <c r="M7153" s="9"/>
    </row>
    <row r="7154">
      <c r="J7154" s="9"/>
      <c r="K7154" s="9"/>
      <c r="L7154" s="9"/>
      <c r="M7154" s="9"/>
    </row>
    <row r="7155">
      <c r="J7155" s="9"/>
      <c r="K7155" s="9"/>
      <c r="L7155" s="9"/>
      <c r="M7155" s="9"/>
    </row>
    <row r="7156">
      <c r="J7156" s="9"/>
      <c r="K7156" s="9"/>
      <c r="L7156" s="9"/>
      <c r="M7156" s="9"/>
    </row>
    <row r="7157">
      <c r="J7157" s="9"/>
      <c r="K7157" s="9"/>
      <c r="L7157" s="9"/>
      <c r="M7157" s="9"/>
    </row>
    <row r="7158">
      <c r="J7158" s="9"/>
      <c r="K7158" s="9"/>
      <c r="L7158" s="9"/>
      <c r="M7158" s="9"/>
    </row>
    <row r="7159">
      <c r="J7159" s="9"/>
      <c r="K7159" s="9"/>
      <c r="L7159" s="9"/>
      <c r="M7159" s="9"/>
    </row>
    <row r="7160">
      <c r="J7160" s="9"/>
      <c r="K7160" s="9"/>
      <c r="L7160" s="9"/>
      <c r="M7160" s="9"/>
    </row>
    <row r="7161">
      <c r="J7161" s="9"/>
      <c r="K7161" s="9"/>
      <c r="L7161" s="9"/>
      <c r="M7161" s="9"/>
    </row>
    <row r="7162">
      <c r="J7162" s="9"/>
      <c r="K7162" s="9"/>
      <c r="L7162" s="9"/>
      <c r="M7162" s="9"/>
    </row>
    <row r="7163">
      <c r="J7163" s="9"/>
      <c r="K7163" s="9"/>
      <c r="L7163" s="9"/>
      <c r="M7163" s="9"/>
    </row>
    <row r="7164">
      <c r="J7164" s="9"/>
      <c r="K7164" s="9"/>
      <c r="L7164" s="9"/>
      <c r="M7164" s="9"/>
    </row>
    <row r="7165">
      <c r="J7165" s="9"/>
      <c r="K7165" s="9"/>
      <c r="L7165" s="9"/>
      <c r="M7165" s="9"/>
    </row>
    <row r="7166">
      <c r="J7166" s="9"/>
      <c r="K7166" s="9"/>
      <c r="L7166" s="9"/>
      <c r="M7166" s="9"/>
    </row>
    <row r="7167">
      <c r="J7167" s="9"/>
      <c r="K7167" s="9"/>
      <c r="L7167" s="9"/>
      <c r="M7167" s="9"/>
    </row>
    <row r="7168">
      <c r="J7168" s="9"/>
      <c r="K7168" s="9"/>
      <c r="L7168" s="9"/>
      <c r="M7168" s="9"/>
    </row>
    <row r="7169">
      <c r="J7169" s="9"/>
      <c r="K7169" s="9"/>
      <c r="L7169" s="9"/>
      <c r="M7169" s="9"/>
    </row>
    <row r="7170">
      <c r="J7170" s="9"/>
      <c r="K7170" s="9"/>
      <c r="L7170" s="9"/>
      <c r="M7170" s="9"/>
    </row>
    <row r="7171">
      <c r="J7171" s="9"/>
      <c r="K7171" s="9"/>
      <c r="L7171" s="9"/>
      <c r="M7171" s="9"/>
    </row>
    <row r="7172">
      <c r="J7172" s="9"/>
      <c r="K7172" s="9"/>
      <c r="L7172" s="9"/>
      <c r="M7172" s="9"/>
    </row>
    <row r="7173">
      <c r="J7173" s="9"/>
      <c r="K7173" s="9"/>
      <c r="L7173" s="9"/>
      <c r="M7173" s="9"/>
    </row>
    <row r="7174">
      <c r="J7174" s="9"/>
      <c r="K7174" s="9"/>
      <c r="L7174" s="9"/>
      <c r="M7174" s="9"/>
    </row>
    <row r="7175">
      <c r="J7175" s="9"/>
      <c r="K7175" s="9"/>
      <c r="L7175" s="9"/>
      <c r="M7175" s="9"/>
    </row>
    <row r="7176">
      <c r="J7176" s="9"/>
      <c r="K7176" s="9"/>
      <c r="L7176" s="9"/>
      <c r="M7176" s="9"/>
    </row>
    <row r="7177">
      <c r="J7177" s="9"/>
      <c r="K7177" s="9"/>
      <c r="L7177" s="9"/>
      <c r="M7177" s="9"/>
    </row>
    <row r="7178">
      <c r="J7178" s="9"/>
      <c r="K7178" s="9"/>
      <c r="L7178" s="9"/>
      <c r="M7178" s="9"/>
    </row>
    <row r="7179">
      <c r="J7179" s="9"/>
      <c r="K7179" s="9"/>
      <c r="L7179" s="9"/>
      <c r="M7179" s="9"/>
    </row>
    <row r="7180">
      <c r="J7180" s="9"/>
      <c r="K7180" s="9"/>
      <c r="L7180" s="9"/>
      <c r="M7180" s="9"/>
    </row>
    <row r="7181">
      <c r="J7181" s="9"/>
      <c r="K7181" s="9"/>
      <c r="L7181" s="9"/>
      <c r="M7181" s="9"/>
    </row>
    <row r="7182">
      <c r="J7182" s="9"/>
      <c r="K7182" s="9"/>
      <c r="L7182" s="9"/>
      <c r="M7182" s="9"/>
    </row>
    <row r="7183">
      <c r="J7183" s="9"/>
      <c r="K7183" s="9"/>
      <c r="L7183" s="9"/>
      <c r="M7183" s="9"/>
    </row>
    <row r="7184">
      <c r="J7184" s="9"/>
      <c r="K7184" s="9"/>
      <c r="L7184" s="9"/>
      <c r="M7184" s="9"/>
    </row>
    <row r="7185">
      <c r="J7185" s="9"/>
      <c r="K7185" s="9"/>
      <c r="L7185" s="9"/>
      <c r="M7185" s="9"/>
    </row>
    <row r="7186">
      <c r="J7186" s="9"/>
      <c r="K7186" s="9"/>
      <c r="L7186" s="9"/>
      <c r="M7186" s="9"/>
    </row>
    <row r="7187">
      <c r="J7187" s="9"/>
      <c r="K7187" s="9"/>
      <c r="L7187" s="9"/>
      <c r="M7187" s="9"/>
    </row>
    <row r="7188">
      <c r="J7188" s="9"/>
      <c r="K7188" s="9"/>
      <c r="L7188" s="9"/>
      <c r="M7188" s="9"/>
    </row>
    <row r="7189">
      <c r="J7189" s="9"/>
      <c r="K7189" s="9"/>
      <c r="L7189" s="9"/>
      <c r="M7189" s="9"/>
    </row>
    <row r="7190">
      <c r="J7190" s="9"/>
      <c r="K7190" s="9"/>
      <c r="L7190" s="9"/>
      <c r="M7190" s="9"/>
    </row>
    <row r="7191">
      <c r="J7191" s="9"/>
      <c r="K7191" s="9"/>
      <c r="L7191" s="9"/>
      <c r="M7191" s="9"/>
    </row>
    <row r="7192">
      <c r="J7192" s="9"/>
      <c r="K7192" s="9"/>
      <c r="L7192" s="9"/>
      <c r="M7192" s="9"/>
    </row>
    <row r="7193">
      <c r="J7193" s="9"/>
      <c r="K7193" s="9"/>
      <c r="L7193" s="9"/>
      <c r="M7193" s="9"/>
    </row>
    <row r="7194">
      <c r="J7194" s="9"/>
      <c r="K7194" s="9"/>
      <c r="L7194" s="9"/>
      <c r="M7194" s="9"/>
    </row>
    <row r="7195">
      <c r="J7195" s="9"/>
      <c r="K7195" s="9"/>
      <c r="L7195" s="9"/>
      <c r="M7195" s="9"/>
    </row>
    <row r="7196">
      <c r="J7196" s="9"/>
      <c r="K7196" s="9"/>
      <c r="L7196" s="9"/>
      <c r="M7196" s="9"/>
    </row>
    <row r="7197">
      <c r="J7197" s="9"/>
      <c r="K7197" s="9"/>
      <c r="L7197" s="9"/>
      <c r="M7197" s="9"/>
    </row>
    <row r="7198">
      <c r="J7198" s="9"/>
      <c r="K7198" s="9"/>
      <c r="L7198" s="9"/>
      <c r="M7198" s="9"/>
    </row>
    <row r="7199">
      <c r="J7199" s="9"/>
      <c r="K7199" s="9"/>
      <c r="L7199" s="9"/>
      <c r="M7199" s="9"/>
    </row>
    <row r="7200">
      <c r="J7200" s="9"/>
      <c r="K7200" s="9"/>
      <c r="L7200" s="9"/>
      <c r="M7200" s="9"/>
    </row>
    <row r="7201">
      <c r="J7201" s="9"/>
      <c r="K7201" s="9"/>
      <c r="L7201" s="9"/>
      <c r="M7201" s="9"/>
    </row>
    <row r="7202">
      <c r="J7202" s="9"/>
      <c r="K7202" s="9"/>
      <c r="L7202" s="9"/>
      <c r="M7202" s="9"/>
    </row>
    <row r="7203">
      <c r="J7203" s="9"/>
      <c r="K7203" s="9"/>
      <c r="L7203" s="9"/>
      <c r="M7203" s="9"/>
    </row>
    <row r="7204">
      <c r="J7204" s="9"/>
      <c r="K7204" s="9"/>
      <c r="L7204" s="9"/>
      <c r="M7204" s="9"/>
    </row>
    <row r="7205">
      <c r="J7205" s="9"/>
      <c r="K7205" s="9"/>
      <c r="L7205" s="9"/>
      <c r="M7205" s="9"/>
    </row>
    <row r="7206">
      <c r="J7206" s="9"/>
      <c r="K7206" s="9"/>
      <c r="L7206" s="9"/>
      <c r="M7206" s="9"/>
    </row>
    <row r="7207">
      <c r="J7207" s="9"/>
      <c r="K7207" s="9"/>
      <c r="L7207" s="9"/>
      <c r="M7207" s="9"/>
    </row>
    <row r="7208">
      <c r="J7208" s="9"/>
      <c r="K7208" s="9"/>
      <c r="L7208" s="9"/>
      <c r="M7208" s="9"/>
    </row>
    <row r="7209">
      <c r="J7209" s="9"/>
      <c r="K7209" s="9"/>
      <c r="L7209" s="9"/>
      <c r="M7209" s="9"/>
    </row>
    <row r="7210">
      <c r="J7210" s="9"/>
      <c r="K7210" s="9"/>
      <c r="L7210" s="9"/>
      <c r="M7210" s="9"/>
    </row>
    <row r="7211">
      <c r="J7211" s="9"/>
      <c r="K7211" s="9"/>
      <c r="L7211" s="9"/>
      <c r="M7211" s="9"/>
    </row>
    <row r="7212">
      <c r="J7212" s="9"/>
      <c r="K7212" s="9"/>
      <c r="L7212" s="9"/>
      <c r="M7212" s="9"/>
    </row>
    <row r="7213">
      <c r="J7213" s="9"/>
      <c r="K7213" s="9"/>
      <c r="L7213" s="9"/>
      <c r="M7213" s="9"/>
    </row>
    <row r="7214">
      <c r="J7214" s="9"/>
      <c r="K7214" s="9"/>
      <c r="L7214" s="9"/>
      <c r="M7214" s="9"/>
    </row>
    <row r="7215">
      <c r="J7215" s="9"/>
      <c r="K7215" s="9"/>
      <c r="L7215" s="9"/>
      <c r="M7215" s="9"/>
    </row>
    <row r="7216">
      <c r="J7216" s="9"/>
      <c r="K7216" s="9"/>
      <c r="L7216" s="9"/>
      <c r="M7216" s="9"/>
    </row>
    <row r="7217">
      <c r="J7217" s="9"/>
      <c r="K7217" s="9"/>
      <c r="L7217" s="9"/>
      <c r="M7217" s="9"/>
    </row>
    <row r="7218">
      <c r="J7218" s="9"/>
      <c r="K7218" s="9"/>
      <c r="L7218" s="9"/>
      <c r="M7218" s="9"/>
    </row>
    <row r="7219">
      <c r="J7219" s="9"/>
      <c r="K7219" s="9"/>
      <c r="L7219" s="9"/>
      <c r="M7219" s="9"/>
    </row>
    <row r="7220">
      <c r="J7220" s="9"/>
      <c r="K7220" s="9"/>
      <c r="L7220" s="9"/>
      <c r="M7220" s="9"/>
    </row>
    <row r="7221">
      <c r="J7221" s="9"/>
      <c r="K7221" s="9"/>
      <c r="L7221" s="9"/>
      <c r="M7221" s="9"/>
    </row>
    <row r="7222">
      <c r="J7222" s="9"/>
      <c r="K7222" s="9"/>
      <c r="L7222" s="9"/>
      <c r="M7222" s="9"/>
    </row>
    <row r="7223">
      <c r="J7223" s="9"/>
      <c r="K7223" s="9"/>
      <c r="L7223" s="9"/>
      <c r="M7223" s="9"/>
    </row>
    <row r="7224">
      <c r="J7224" s="9"/>
      <c r="K7224" s="9"/>
      <c r="L7224" s="9"/>
      <c r="M7224" s="9"/>
    </row>
    <row r="7225">
      <c r="J7225" s="9"/>
      <c r="K7225" s="9"/>
      <c r="L7225" s="9"/>
      <c r="M7225" s="9"/>
    </row>
    <row r="7226">
      <c r="J7226" s="9"/>
      <c r="K7226" s="9"/>
      <c r="L7226" s="9"/>
      <c r="M7226" s="9"/>
    </row>
    <row r="7227">
      <c r="J7227" s="9"/>
      <c r="K7227" s="9"/>
      <c r="L7227" s="9"/>
      <c r="M7227" s="9"/>
    </row>
    <row r="7228">
      <c r="J7228" s="9"/>
      <c r="K7228" s="9"/>
      <c r="L7228" s="9"/>
      <c r="M7228" s="9"/>
    </row>
    <row r="7229">
      <c r="J7229" s="9"/>
      <c r="K7229" s="9"/>
      <c r="L7229" s="9"/>
      <c r="M7229" s="9"/>
    </row>
    <row r="7230">
      <c r="J7230" s="9"/>
      <c r="K7230" s="9"/>
      <c r="L7230" s="9"/>
      <c r="M7230" s="9"/>
    </row>
    <row r="7231">
      <c r="J7231" s="9"/>
      <c r="K7231" s="9"/>
      <c r="L7231" s="9"/>
      <c r="M7231" s="9"/>
    </row>
    <row r="7232">
      <c r="J7232" s="9"/>
      <c r="K7232" s="9"/>
      <c r="L7232" s="9"/>
      <c r="M7232" s="9"/>
    </row>
    <row r="7233">
      <c r="J7233" s="9"/>
      <c r="K7233" s="9"/>
      <c r="L7233" s="9"/>
      <c r="M7233" s="9"/>
    </row>
    <row r="7234">
      <c r="J7234" s="9"/>
      <c r="K7234" s="9"/>
      <c r="L7234" s="9"/>
      <c r="M7234" s="9"/>
    </row>
    <row r="7235">
      <c r="J7235" s="9"/>
      <c r="K7235" s="9"/>
      <c r="L7235" s="9"/>
      <c r="M7235" s="9"/>
    </row>
    <row r="7236">
      <c r="J7236" s="9"/>
      <c r="K7236" s="9"/>
      <c r="L7236" s="9"/>
      <c r="M7236" s="9"/>
    </row>
    <row r="7237">
      <c r="J7237" s="9"/>
      <c r="K7237" s="9"/>
      <c r="L7237" s="9"/>
      <c r="M7237" s="9"/>
    </row>
    <row r="7238">
      <c r="J7238" s="9"/>
      <c r="K7238" s="9"/>
      <c r="L7238" s="9"/>
      <c r="M7238" s="9"/>
    </row>
    <row r="7239">
      <c r="J7239" s="9"/>
      <c r="K7239" s="9"/>
      <c r="L7239" s="9"/>
      <c r="M7239" s="9"/>
    </row>
    <row r="7240">
      <c r="J7240" s="9"/>
      <c r="K7240" s="9"/>
      <c r="L7240" s="9"/>
      <c r="M7240" s="9"/>
    </row>
    <row r="7241">
      <c r="J7241" s="9"/>
      <c r="K7241" s="9"/>
      <c r="L7241" s="9"/>
      <c r="M7241" s="9"/>
    </row>
    <row r="7242">
      <c r="J7242" s="9"/>
      <c r="K7242" s="9"/>
      <c r="L7242" s="9"/>
      <c r="M7242" s="9"/>
    </row>
    <row r="7243">
      <c r="J7243" s="9"/>
      <c r="K7243" s="9"/>
      <c r="L7243" s="9"/>
      <c r="M7243" s="9"/>
    </row>
    <row r="7244">
      <c r="J7244" s="9"/>
      <c r="K7244" s="9"/>
      <c r="L7244" s="9"/>
      <c r="M7244" s="9"/>
    </row>
    <row r="7245">
      <c r="J7245" s="9"/>
      <c r="K7245" s="9"/>
      <c r="L7245" s="9"/>
      <c r="M7245" s="9"/>
    </row>
    <row r="7246">
      <c r="J7246" s="9"/>
      <c r="K7246" s="9"/>
      <c r="L7246" s="9"/>
      <c r="M7246" s="9"/>
    </row>
    <row r="7247">
      <c r="J7247" s="9"/>
      <c r="K7247" s="9"/>
      <c r="L7247" s="9"/>
      <c r="M7247" s="9"/>
    </row>
    <row r="7248">
      <c r="J7248" s="9"/>
      <c r="K7248" s="9"/>
      <c r="L7248" s="9"/>
      <c r="M7248" s="9"/>
    </row>
    <row r="7249">
      <c r="J7249" s="9"/>
      <c r="K7249" s="9"/>
      <c r="L7249" s="9"/>
      <c r="M7249" s="9"/>
    </row>
    <row r="7250">
      <c r="J7250" s="9"/>
      <c r="K7250" s="9"/>
      <c r="L7250" s="9"/>
      <c r="M7250" s="9"/>
    </row>
    <row r="7251">
      <c r="J7251" s="9"/>
      <c r="K7251" s="9"/>
      <c r="L7251" s="9"/>
      <c r="M7251" s="9"/>
    </row>
    <row r="7252">
      <c r="J7252" s="9"/>
      <c r="K7252" s="9"/>
      <c r="L7252" s="9"/>
      <c r="M7252" s="9"/>
    </row>
    <row r="7253">
      <c r="J7253" s="9"/>
      <c r="K7253" s="9"/>
      <c r="L7253" s="9"/>
      <c r="M7253" s="9"/>
    </row>
    <row r="7254">
      <c r="J7254" s="9"/>
      <c r="K7254" s="9"/>
      <c r="L7254" s="9"/>
      <c r="M7254" s="9"/>
    </row>
    <row r="7255">
      <c r="J7255" s="9"/>
      <c r="K7255" s="9"/>
      <c r="L7255" s="9"/>
      <c r="M7255" s="9"/>
    </row>
    <row r="7256">
      <c r="J7256" s="9"/>
      <c r="K7256" s="9"/>
      <c r="L7256" s="9"/>
      <c r="M7256" s="9"/>
    </row>
    <row r="7257">
      <c r="J7257" s="9"/>
      <c r="K7257" s="9"/>
      <c r="L7257" s="9"/>
      <c r="M7257" s="9"/>
    </row>
    <row r="7258">
      <c r="J7258" s="9"/>
      <c r="K7258" s="9"/>
      <c r="L7258" s="9"/>
      <c r="M7258" s="9"/>
    </row>
    <row r="7259">
      <c r="J7259" s="9"/>
      <c r="K7259" s="9"/>
      <c r="L7259" s="9"/>
      <c r="M7259" s="9"/>
    </row>
    <row r="7260">
      <c r="J7260" s="9"/>
      <c r="K7260" s="9"/>
      <c r="L7260" s="9"/>
      <c r="M7260" s="9"/>
    </row>
    <row r="7261">
      <c r="J7261" s="9"/>
      <c r="K7261" s="9"/>
      <c r="L7261" s="9"/>
      <c r="M7261" s="9"/>
    </row>
    <row r="7262">
      <c r="J7262" s="9"/>
      <c r="K7262" s="9"/>
      <c r="L7262" s="9"/>
      <c r="M7262" s="9"/>
    </row>
    <row r="7263">
      <c r="J7263" s="9"/>
      <c r="K7263" s="9"/>
      <c r="L7263" s="9"/>
      <c r="M7263" s="9"/>
    </row>
    <row r="7264">
      <c r="J7264" s="9"/>
      <c r="K7264" s="9"/>
      <c r="L7264" s="9"/>
      <c r="M7264" s="9"/>
    </row>
    <row r="7265">
      <c r="J7265" s="9"/>
      <c r="K7265" s="9"/>
      <c r="L7265" s="9"/>
      <c r="M7265" s="9"/>
    </row>
    <row r="7266">
      <c r="J7266" s="9"/>
      <c r="K7266" s="9"/>
      <c r="L7266" s="9"/>
      <c r="M7266" s="9"/>
    </row>
    <row r="7267">
      <c r="J7267" s="9"/>
      <c r="K7267" s="9"/>
      <c r="L7267" s="9"/>
      <c r="M7267" s="9"/>
    </row>
    <row r="7268">
      <c r="J7268" s="9"/>
      <c r="K7268" s="9"/>
      <c r="L7268" s="9"/>
      <c r="M7268" s="9"/>
    </row>
    <row r="7269">
      <c r="J7269" s="9"/>
      <c r="K7269" s="9"/>
      <c r="L7269" s="9"/>
      <c r="M7269" s="9"/>
    </row>
    <row r="7270">
      <c r="J7270" s="9"/>
      <c r="K7270" s="9"/>
      <c r="L7270" s="9"/>
      <c r="M7270" s="9"/>
    </row>
    <row r="7271">
      <c r="J7271" s="9"/>
      <c r="K7271" s="9"/>
      <c r="L7271" s="9"/>
      <c r="M7271" s="9"/>
    </row>
    <row r="7272">
      <c r="J7272" s="9"/>
      <c r="K7272" s="9"/>
      <c r="L7272" s="9"/>
      <c r="M7272" s="9"/>
    </row>
    <row r="7273">
      <c r="J7273" s="9"/>
      <c r="K7273" s="9"/>
      <c r="L7273" s="9"/>
      <c r="M7273" s="9"/>
    </row>
    <row r="7274">
      <c r="J7274" s="9"/>
      <c r="K7274" s="9"/>
      <c r="L7274" s="9"/>
      <c r="M7274" s="9"/>
    </row>
    <row r="7275">
      <c r="J7275" s="9"/>
      <c r="K7275" s="9"/>
      <c r="L7275" s="9"/>
      <c r="M7275" s="9"/>
    </row>
    <row r="7276">
      <c r="J7276" s="9"/>
      <c r="K7276" s="9"/>
      <c r="L7276" s="9"/>
      <c r="M7276" s="9"/>
    </row>
    <row r="7277">
      <c r="J7277" s="9"/>
      <c r="K7277" s="9"/>
      <c r="L7277" s="9"/>
      <c r="M7277" s="9"/>
    </row>
    <row r="7278">
      <c r="J7278" s="9"/>
      <c r="K7278" s="9"/>
      <c r="L7278" s="9"/>
      <c r="M7278" s="9"/>
    </row>
    <row r="7279">
      <c r="J7279" s="9"/>
      <c r="K7279" s="9"/>
      <c r="L7279" s="9"/>
      <c r="M7279" s="9"/>
    </row>
    <row r="7280">
      <c r="J7280" s="9"/>
      <c r="K7280" s="9"/>
      <c r="L7280" s="9"/>
      <c r="M7280" s="9"/>
    </row>
    <row r="7281">
      <c r="J7281" s="9"/>
      <c r="K7281" s="9"/>
      <c r="L7281" s="9"/>
      <c r="M7281" s="9"/>
    </row>
    <row r="7282">
      <c r="J7282" s="9"/>
      <c r="K7282" s="9"/>
      <c r="L7282" s="9"/>
      <c r="M7282" s="9"/>
    </row>
    <row r="7283">
      <c r="J7283" s="9"/>
      <c r="K7283" s="9"/>
      <c r="L7283" s="9"/>
      <c r="M7283" s="9"/>
    </row>
    <row r="7284">
      <c r="J7284" s="9"/>
      <c r="K7284" s="9"/>
      <c r="L7284" s="9"/>
      <c r="M7284" s="9"/>
    </row>
    <row r="7285">
      <c r="J7285" s="9"/>
      <c r="K7285" s="9"/>
      <c r="L7285" s="9"/>
      <c r="M7285" s="9"/>
    </row>
    <row r="7286">
      <c r="J7286" s="9"/>
      <c r="K7286" s="9"/>
      <c r="L7286" s="9"/>
      <c r="M7286" s="9"/>
    </row>
    <row r="7287">
      <c r="J7287" s="9"/>
      <c r="K7287" s="9"/>
      <c r="L7287" s="9"/>
      <c r="M7287" s="9"/>
    </row>
    <row r="7288">
      <c r="J7288" s="9"/>
      <c r="K7288" s="9"/>
      <c r="L7288" s="9"/>
      <c r="M7288" s="9"/>
    </row>
    <row r="7289">
      <c r="J7289" s="9"/>
      <c r="K7289" s="9"/>
      <c r="L7289" s="9"/>
      <c r="M7289" s="9"/>
    </row>
    <row r="7290">
      <c r="J7290" s="9"/>
      <c r="K7290" s="9"/>
      <c r="L7290" s="9"/>
      <c r="M7290" s="9"/>
    </row>
    <row r="7291">
      <c r="J7291" s="9"/>
      <c r="K7291" s="9"/>
      <c r="L7291" s="9"/>
      <c r="M7291" s="9"/>
    </row>
    <row r="7292">
      <c r="J7292" s="9"/>
      <c r="K7292" s="9"/>
      <c r="L7292" s="9"/>
      <c r="M7292" s="9"/>
    </row>
    <row r="7293">
      <c r="J7293" s="9"/>
      <c r="K7293" s="9"/>
      <c r="L7293" s="9"/>
      <c r="M7293" s="9"/>
    </row>
    <row r="7294">
      <c r="J7294" s="9"/>
      <c r="K7294" s="9"/>
      <c r="L7294" s="9"/>
      <c r="M7294" s="9"/>
    </row>
    <row r="7295">
      <c r="J7295" s="9"/>
      <c r="K7295" s="9"/>
      <c r="L7295" s="9"/>
      <c r="M7295" s="9"/>
    </row>
    <row r="7296">
      <c r="J7296" s="9"/>
      <c r="K7296" s="9"/>
      <c r="L7296" s="9"/>
      <c r="M7296" s="9"/>
    </row>
    <row r="7297">
      <c r="J7297" s="9"/>
      <c r="K7297" s="9"/>
      <c r="L7297" s="9"/>
      <c r="M7297" s="9"/>
    </row>
    <row r="7298">
      <c r="J7298" s="9"/>
      <c r="K7298" s="9"/>
      <c r="L7298" s="9"/>
      <c r="M7298" s="9"/>
    </row>
    <row r="7299">
      <c r="J7299" s="9"/>
      <c r="K7299" s="9"/>
      <c r="L7299" s="9"/>
      <c r="M7299" s="9"/>
    </row>
    <row r="7300">
      <c r="J7300" s="9"/>
      <c r="K7300" s="9"/>
      <c r="L7300" s="9"/>
      <c r="M7300" s="9"/>
    </row>
    <row r="7301">
      <c r="J7301" s="9"/>
      <c r="K7301" s="9"/>
      <c r="L7301" s="9"/>
      <c r="M7301" s="9"/>
    </row>
    <row r="7302">
      <c r="J7302" s="9"/>
      <c r="K7302" s="9"/>
      <c r="L7302" s="9"/>
      <c r="M7302" s="9"/>
    </row>
    <row r="7303">
      <c r="J7303" s="9"/>
      <c r="K7303" s="9"/>
      <c r="L7303" s="9"/>
      <c r="M7303" s="9"/>
    </row>
    <row r="7304">
      <c r="J7304" s="9"/>
      <c r="K7304" s="9"/>
      <c r="L7304" s="9"/>
      <c r="M7304" s="9"/>
    </row>
    <row r="7305">
      <c r="J7305" s="9"/>
      <c r="K7305" s="9"/>
      <c r="L7305" s="9"/>
      <c r="M7305" s="9"/>
    </row>
    <row r="7306">
      <c r="J7306" s="9"/>
      <c r="K7306" s="9"/>
      <c r="L7306" s="9"/>
      <c r="M7306" s="9"/>
    </row>
    <row r="7307">
      <c r="J7307" s="9"/>
      <c r="K7307" s="9"/>
      <c r="L7307" s="9"/>
      <c r="M7307" s="9"/>
    </row>
    <row r="7308">
      <c r="J7308" s="9"/>
      <c r="K7308" s="9"/>
      <c r="L7308" s="9"/>
      <c r="M7308" s="9"/>
    </row>
    <row r="7309">
      <c r="J7309" s="9"/>
      <c r="K7309" s="9"/>
      <c r="L7309" s="9"/>
      <c r="M7309" s="9"/>
    </row>
    <row r="7310">
      <c r="J7310" s="9"/>
      <c r="K7310" s="9"/>
      <c r="L7310" s="9"/>
      <c r="M7310" s="9"/>
    </row>
    <row r="7311">
      <c r="J7311" s="9"/>
      <c r="K7311" s="9"/>
      <c r="L7311" s="9"/>
      <c r="M7311" s="9"/>
    </row>
    <row r="7312">
      <c r="J7312" s="9"/>
      <c r="K7312" s="9"/>
      <c r="L7312" s="9"/>
      <c r="M7312" s="9"/>
    </row>
    <row r="7313">
      <c r="J7313" s="9"/>
      <c r="K7313" s="9"/>
      <c r="L7313" s="9"/>
      <c r="M7313" s="9"/>
    </row>
    <row r="7314">
      <c r="J7314" s="9"/>
      <c r="K7314" s="9"/>
      <c r="L7314" s="9"/>
      <c r="M7314" s="9"/>
    </row>
    <row r="7315">
      <c r="J7315" s="9"/>
      <c r="K7315" s="9"/>
      <c r="L7315" s="9"/>
      <c r="M7315" s="9"/>
    </row>
    <row r="7316">
      <c r="J7316" s="9"/>
      <c r="K7316" s="9"/>
      <c r="L7316" s="9"/>
      <c r="M7316" s="9"/>
    </row>
    <row r="7317">
      <c r="J7317" s="9"/>
      <c r="K7317" s="9"/>
      <c r="L7317" s="9"/>
      <c r="M7317" s="9"/>
    </row>
    <row r="7318">
      <c r="J7318" s="9"/>
      <c r="K7318" s="9"/>
      <c r="L7318" s="9"/>
      <c r="M7318" s="9"/>
    </row>
    <row r="7319">
      <c r="J7319" s="9"/>
      <c r="K7319" s="9"/>
      <c r="L7319" s="9"/>
      <c r="M7319" s="9"/>
    </row>
    <row r="7320">
      <c r="J7320" s="9"/>
      <c r="K7320" s="9"/>
      <c r="L7320" s="9"/>
      <c r="M7320" s="9"/>
    </row>
    <row r="7321">
      <c r="J7321" s="9"/>
      <c r="K7321" s="9"/>
      <c r="L7321" s="9"/>
      <c r="M7321" s="9"/>
    </row>
    <row r="7322">
      <c r="J7322" s="9"/>
      <c r="K7322" s="9"/>
      <c r="L7322" s="9"/>
      <c r="M7322" s="9"/>
    </row>
    <row r="7323">
      <c r="J7323" s="9"/>
      <c r="K7323" s="9"/>
      <c r="L7323" s="9"/>
      <c r="M7323" s="9"/>
    </row>
    <row r="7324">
      <c r="J7324" s="9"/>
      <c r="K7324" s="9"/>
      <c r="L7324" s="9"/>
      <c r="M7324" s="9"/>
    </row>
    <row r="7325">
      <c r="J7325" s="9"/>
      <c r="K7325" s="9"/>
      <c r="L7325" s="9"/>
      <c r="M7325" s="9"/>
    </row>
    <row r="7326">
      <c r="J7326" s="9"/>
      <c r="K7326" s="9"/>
      <c r="L7326" s="9"/>
      <c r="M7326" s="9"/>
    </row>
    <row r="7327">
      <c r="J7327" s="9"/>
      <c r="K7327" s="9"/>
      <c r="L7327" s="9"/>
      <c r="M7327" s="9"/>
    </row>
    <row r="7328">
      <c r="J7328" s="9"/>
      <c r="K7328" s="9"/>
      <c r="L7328" s="9"/>
      <c r="M7328" s="9"/>
    </row>
    <row r="7329">
      <c r="J7329" s="9"/>
      <c r="K7329" s="9"/>
      <c r="L7329" s="9"/>
      <c r="M7329" s="9"/>
    </row>
    <row r="7330">
      <c r="J7330" s="9"/>
      <c r="K7330" s="9"/>
      <c r="L7330" s="9"/>
      <c r="M7330" s="9"/>
    </row>
    <row r="7331">
      <c r="J7331" s="9"/>
      <c r="K7331" s="9"/>
      <c r="L7331" s="9"/>
      <c r="M7331" s="9"/>
    </row>
    <row r="7332">
      <c r="J7332" s="9"/>
      <c r="K7332" s="9"/>
      <c r="L7332" s="9"/>
      <c r="M7332" s="9"/>
    </row>
    <row r="7333">
      <c r="J7333" s="9"/>
      <c r="K7333" s="9"/>
      <c r="L7333" s="9"/>
      <c r="M7333" s="9"/>
    </row>
    <row r="7334">
      <c r="J7334" s="9"/>
      <c r="K7334" s="9"/>
      <c r="L7334" s="9"/>
      <c r="M7334" s="9"/>
    </row>
    <row r="7335">
      <c r="J7335" s="9"/>
      <c r="K7335" s="9"/>
      <c r="L7335" s="9"/>
      <c r="M7335" s="9"/>
    </row>
    <row r="7336">
      <c r="J7336" s="9"/>
      <c r="K7336" s="9"/>
      <c r="L7336" s="9"/>
      <c r="M7336" s="9"/>
    </row>
    <row r="7337">
      <c r="J7337" s="9"/>
      <c r="K7337" s="9"/>
      <c r="L7337" s="9"/>
      <c r="M7337" s="9"/>
    </row>
    <row r="7338">
      <c r="J7338" s="9"/>
      <c r="K7338" s="9"/>
      <c r="L7338" s="9"/>
      <c r="M7338" s="9"/>
    </row>
    <row r="7339">
      <c r="J7339" s="9"/>
      <c r="K7339" s="9"/>
      <c r="L7339" s="9"/>
      <c r="M7339" s="9"/>
    </row>
    <row r="7340">
      <c r="J7340" s="9"/>
      <c r="K7340" s="9"/>
      <c r="L7340" s="9"/>
      <c r="M7340" s="9"/>
    </row>
    <row r="7341">
      <c r="J7341" s="9"/>
      <c r="K7341" s="9"/>
      <c r="L7341" s="9"/>
      <c r="M7341" s="9"/>
    </row>
    <row r="7342">
      <c r="J7342" s="9"/>
      <c r="K7342" s="9"/>
      <c r="L7342" s="9"/>
      <c r="M7342" s="9"/>
    </row>
    <row r="7343">
      <c r="J7343" s="9"/>
      <c r="K7343" s="9"/>
      <c r="L7343" s="9"/>
      <c r="M7343" s="9"/>
    </row>
    <row r="7344">
      <c r="J7344" s="9"/>
      <c r="K7344" s="9"/>
      <c r="L7344" s="9"/>
      <c r="M7344" s="9"/>
    </row>
    <row r="7345">
      <c r="J7345" s="9"/>
      <c r="K7345" s="9"/>
      <c r="L7345" s="9"/>
      <c r="M7345" s="9"/>
    </row>
    <row r="7346">
      <c r="J7346" s="9"/>
      <c r="K7346" s="9"/>
      <c r="L7346" s="9"/>
      <c r="M7346" s="9"/>
    </row>
    <row r="7347">
      <c r="J7347" s="9"/>
      <c r="K7347" s="9"/>
      <c r="L7347" s="9"/>
      <c r="M7347" s="9"/>
    </row>
    <row r="7348">
      <c r="J7348" s="9"/>
      <c r="K7348" s="9"/>
      <c r="L7348" s="9"/>
      <c r="M7348" s="9"/>
    </row>
    <row r="7349">
      <c r="J7349" s="9"/>
      <c r="K7349" s="9"/>
      <c r="L7349" s="9"/>
      <c r="M7349" s="9"/>
    </row>
    <row r="7350">
      <c r="J7350" s="9"/>
      <c r="K7350" s="9"/>
      <c r="L7350" s="9"/>
      <c r="M7350" s="9"/>
    </row>
    <row r="7351">
      <c r="J7351" s="9"/>
      <c r="K7351" s="9"/>
      <c r="L7351" s="9"/>
      <c r="M7351" s="9"/>
    </row>
    <row r="7352">
      <c r="J7352" s="9"/>
      <c r="K7352" s="9"/>
      <c r="L7352" s="9"/>
      <c r="M7352" s="9"/>
    </row>
    <row r="7353">
      <c r="J7353" s="9"/>
      <c r="K7353" s="9"/>
      <c r="L7353" s="9"/>
      <c r="M7353" s="9"/>
    </row>
    <row r="7354">
      <c r="J7354" s="9"/>
      <c r="K7354" s="9"/>
      <c r="L7354" s="9"/>
      <c r="M7354" s="9"/>
    </row>
    <row r="7355">
      <c r="J7355" s="9"/>
      <c r="K7355" s="9"/>
      <c r="L7355" s="9"/>
      <c r="M7355" s="9"/>
    </row>
    <row r="7356">
      <c r="J7356" s="9"/>
      <c r="K7356" s="9"/>
      <c r="L7356" s="9"/>
      <c r="M7356" s="9"/>
    </row>
    <row r="7357">
      <c r="J7357" s="9"/>
      <c r="K7357" s="9"/>
      <c r="L7357" s="9"/>
      <c r="M7357" s="9"/>
    </row>
    <row r="7358">
      <c r="J7358" s="9"/>
      <c r="K7358" s="9"/>
      <c r="L7358" s="9"/>
      <c r="M7358" s="9"/>
    </row>
    <row r="7359">
      <c r="J7359" s="9"/>
      <c r="K7359" s="9"/>
      <c r="L7359" s="9"/>
      <c r="M7359" s="9"/>
    </row>
    <row r="7360">
      <c r="J7360" s="9"/>
      <c r="K7360" s="9"/>
      <c r="L7360" s="9"/>
      <c r="M7360" s="9"/>
    </row>
    <row r="7361">
      <c r="J7361" s="9"/>
      <c r="K7361" s="9"/>
      <c r="L7361" s="9"/>
      <c r="M7361" s="9"/>
    </row>
    <row r="7362">
      <c r="J7362" s="9"/>
      <c r="K7362" s="9"/>
      <c r="L7362" s="9"/>
      <c r="M7362" s="9"/>
    </row>
    <row r="7363">
      <c r="J7363" s="9"/>
      <c r="K7363" s="9"/>
      <c r="L7363" s="9"/>
      <c r="M7363" s="9"/>
    </row>
    <row r="7364">
      <c r="J7364" s="9"/>
      <c r="K7364" s="9"/>
      <c r="L7364" s="9"/>
      <c r="M7364" s="9"/>
    </row>
    <row r="7365">
      <c r="J7365" s="9"/>
      <c r="K7365" s="9"/>
      <c r="L7365" s="9"/>
      <c r="M7365" s="9"/>
    </row>
    <row r="7366">
      <c r="J7366" s="9"/>
      <c r="K7366" s="9"/>
      <c r="L7366" s="9"/>
      <c r="M7366" s="9"/>
    </row>
    <row r="7367">
      <c r="J7367" s="9"/>
      <c r="K7367" s="9"/>
      <c r="L7367" s="9"/>
      <c r="M7367" s="9"/>
    </row>
    <row r="7368">
      <c r="J7368" s="9"/>
      <c r="K7368" s="9"/>
      <c r="L7368" s="9"/>
      <c r="M7368" s="9"/>
    </row>
    <row r="7369">
      <c r="J7369" s="9"/>
      <c r="K7369" s="9"/>
      <c r="L7369" s="9"/>
      <c r="M7369" s="9"/>
    </row>
    <row r="7370">
      <c r="J7370" s="9"/>
      <c r="K7370" s="9"/>
      <c r="L7370" s="9"/>
      <c r="M7370" s="9"/>
    </row>
    <row r="7371">
      <c r="J7371" s="9"/>
      <c r="K7371" s="9"/>
      <c r="L7371" s="9"/>
      <c r="M7371" s="9"/>
    </row>
    <row r="7372">
      <c r="J7372" s="9"/>
      <c r="K7372" s="9"/>
      <c r="L7372" s="9"/>
      <c r="M7372" s="9"/>
    </row>
    <row r="7373">
      <c r="J7373" s="9"/>
      <c r="K7373" s="9"/>
      <c r="L7373" s="9"/>
      <c r="M7373" s="9"/>
    </row>
    <row r="7374">
      <c r="J7374" s="9"/>
      <c r="K7374" s="9"/>
      <c r="L7374" s="9"/>
      <c r="M7374" s="9"/>
    </row>
    <row r="7375">
      <c r="J7375" s="9"/>
      <c r="K7375" s="9"/>
      <c r="L7375" s="9"/>
      <c r="M7375" s="9"/>
    </row>
    <row r="7376">
      <c r="J7376" s="9"/>
      <c r="K7376" s="9"/>
      <c r="L7376" s="9"/>
      <c r="M7376" s="9"/>
    </row>
    <row r="7377">
      <c r="J7377" s="9"/>
      <c r="K7377" s="9"/>
      <c r="L7377" s="9"/>
      <c r="M7377" s="9"/>
    </row>
    <row r="7378">
      <c r="J7378" s="9"/>
      <c r="K7378" s="9"/>
      <c r="L7378" s="9"/>
      <c r="M7378" s="9"/>
    </row>
    <row r="7379">
      <c r="J7379" s="9"/>
      <c r="K7379" s="9"/>
      <c r="L7379" s="9"/>
      <c r="M7379" s="9"/>
    </row>
    <row r="7380">
      <c r="J7380" s="9"/>
      <c r="K7380" s="9"/>
      <c r="L7380" s="9"/>
      <c r="M7380" s="9"/>
    </row>
    <row r="7381">
      <c r="J7381" s="9"/>
      <c r="K7381" s="9"/>
      <c r="L7381" s="9"/>
      <c r="M7381" s="9"/>
    </row>
    <row r="7382">
      <c r="J7382" s="9"/>
      <c r="K7382" s="9"/>
      <c r="L7382" s="9"/>
      <c r="M7382" s="9"/>
    </row>
    <row r="7383">
      <c r="J7383" s="9"/>
      <c r="K7383" s="9"/>
      <c r="L7383" s="9"/>
      <c r="M7383" s="9"/>
    </row>
    <row r="7384">
      <c r="J7384" s="9"/>
      <c r="K7384" s="9"/>
      <c r="L7384" s="9"/>
      <c r="M7384" s="9"/>
    </row>
    <row r="7385">
      <c r="J7385" s="9"/>
      <c r="K7385" s="9"/>
      <c r="L7385" s="9"/>
      <c r="M7385" s="9"/>
    </row>
    <row r="7386">
      <c r="J7386" s="9"/>
      <c r="K7386" s="9"/>
      <c r="L7386" s="9"/>
      <c r="M7386" s="9"/>
    </row>
    <row r="7387">
      <c r="J7387" s="9"/>
      <c r="K7387" s="9"/>
      <c r="L7387" s="9"/>
      <c r="M7387" s="9"/>
    </row>
    <row r="7388">
      <c r="J7388" s="9"/>
      <c r="K7388" s="9"/>
      <c r="L7388" s="9"/>
      <c r="M7388" s="9"/>
    </row>
    <row r="7389">
      <c r="J7389" s="9"/>
      <c r="K7389" s="9"/>
      <c r="L7389" s="9"/>
      <c r="M7389" s="9"/>
    </row>
    <row r="7390">
      <c r="J7390" s="9"/>
      <c r="K7390" s="9"/>
      <c r="L7390" s="9"/>
      <c r="M7390" s="9"/>
    </row>
    <row r="7391">
      <c r="J7391" s="9"/>
      <c r="K7391" s="9"/>
      <c r="L7391" s="9"/>
      <c r="M7391" s="9"/>
    </row>
    <row r="7392">
      <c r="J7392" s="9"/>
      <c r="K7392" s="9"/>
      <c r="L7392" s="9"/>
      <c r="M7392" s="9"/>
    </row>
    <row r="7393">
      <c r="J7393" s="9"/>
      <c r="K7393" s="9"/>
      <c r="L7393" s="9"/>
      <c r="M7393" s="9"/>
    </row>
    <row r="7394">
      <c r="J7394" s="9"/>
      <c r="K7394" s="9"/>
      <c r="L7394" s="9"/>
      <c r="M7394" s="9"/>
    </row>
    <row r="7395">
      <c r="J7395" s="9"/>
      <c r="K7395" s="9"/>
      <c r="L7395" s="9"/>
      <c r="M7395" s="9"/>
    </row>
    <row r="7396">
      <c r="J7396" s="9"/>
      <c r="K7396" s="9"/>
      <c r="L7396" s="9"/>
      <c r="M7396" s="9"/>
    </row>
    <row r="7397">
      <c r="J7397" s="9"/>
      <c r="K7397" s="9"/>
      <c r="L7397" s="9"/>
      <c r="M7397" s="9"/>
    </row>
    <row r="7398">
      <c r="J7398" s="9"/>
      <c r="K7398" s="9"/>
      <c r="L7398" s="9"/>
      <c r="M7398" s="9"/>
    </row>
    <row r="7399">
      <c r="J7399" s="9"/>
      <c r="K7399" s="9"/>
      <c r="L7399" s="9"/>
      <c r="M7399" s="9"/>
    </row>
    <row r="7400">
      <c r="J7400" s="9"/>
      <c r="K7400" s="9"/>
      <c r="L7400" s="9"/>
      <c r="M7400" s="9"/>
    </row>
    <row r="7401">
      <c r="J7401" s="9"/>
      <c r="K7401" s="9"/>
      <c r="L7401" s="9"/>
      <c r="M7401" s="9"/>
    </row>
    <row r="7402">
      <c r="J7402" s="9"/>
      <c r="K7402" s="9"/>
      <c r="L7402" s="9"/>
      <c r="M7402" s="9"/>
    </row>
    <row r="7403">
      <c r="J7403" s="9"/>
      <c r="K7403" s="9"/>
      <c r="L7403" s="9"/>
      <c r="M7403" s="9"/>
    </row>
    <row r="7404">
      <c r="J7404" s="9"/>
      <c r="K7404" s="9"/>
      <c r="L7404" s="9"/>
      <c r="M7404" s="9"/>
    </row>
    <row r="7405">
      <c r="J7405" s="9"/>
      <c r="K7405" s="9"/>
      <c r="L7405" s="9"/>
      <c r="M7405" s="9"/>
    </row>
    <row r="7406">
      <c r="J7406" s="9"/>
      <c r="K7406" s="9"/>
      <c r="L7406" s="9"/>
      <c r="M7406" s="9"/>
    </row>
    <row r="7407">
      <c r="J7407" s="9"/>
      <c r="K7407" s="9"/>
      <c r="L7407" s="9"/>
      <c r="M7407" s="9"/>
    </row>
    <row r="7408">
      <c r="J7408" s="9"/>
      <c r="K7408" s="9"/>
      <c r="L7408" s="9"/>
      <c r="M7408" s="9"/>
    </row>
    <row r="7409">
      <c r="J7409" s="9"/>
      <c r="K7409" s="9"/>
      <c r="L7409" s="9"/>
      <c r="M7409" s="9"/>
    </row>
    <row r="7410">
      <c r="J7410" s="9"/>
      <c r="K7410" s="9"/>
      <c r="L7410" s="9"/>
      <c r="M7410" s="9"/>
    </row>
    <row r="7411">
      <c r="J7411" s="9"/>
      <c r="K7411" s="9"/>
      <c r="L7411" s="9"/>
      <c r="M7411" s="9"/>
    </row>
    <row r="7412">
      <c r="J7412" s="9"/>
      <c r="K7412" s="9"/>
      <c r="L7412" s="9"/>
      <c r="M7412" s="9"/>
    </row>
    <row r="7413">
      <c r="J7413" s="9"/>
      <c r="K7413" s="9"/>
      <c r="L7413" s="9"/>
      <c r="M7413" s="9"/>
    </row>
    <row r="7414">
      <c r="J7414" s="9"/>
      <c r="K7414" s="9"/>
      <c r="L7414" s="9"/>
      <c r="M7414" s="9"/>
    </row>
    <row r="7415">
      <c r="J7415" s="9"/>
      <c r="K7415" s="9"/>
      <c r="L7415" s="9"/>
      <c r="M7415" s="9"/>
    </row>
    <row r="7416">
      <c r="J7416" s="9"/>
      <c r="K7416" s="9"/>
      <c r="L7416" s="9"/>
      <c r="M7416" s="9"/>
    </row>
    <row r="7417">
      <c r="J7417" s="9"/>
      <c r="K7417" s="9"/>
      <c r="L7417" s="9"/>
      <c r="M7417" s="9"/>
    </row>
    <row r="7418">
      <c r="J7418" s="9"/>
      <c r="K7418" s="9"/>
      <c r="L7418" s="9"/>
      <c r="M7418" s="9"/>
    </row>
    <row r="7419">
      <c r="J7419" s="9"/>
      <c r="K7419" s="9"/>
      <c r="L7419" s="9"/>
      <c r="M7419" s="9"/>
    </row>
    <row r="7420">
      <c r="J7420" s="9"/>
      <c r="K7420" s="9"/>
      <c r="L7420" s="9"/>
      <c r="M7420" s="9"/>
    </row>
    <row r="7421">
      <c r="J7421" s="9"/>
      <c r="K7421" s="9"/>
      <c r="L7421" s="9"/>
      <c r="M7421" s="9"/>
    </row>
    <row r="7422">
      <c r="J7422" s="9"/>
      <c r="K7422" s="9"/>
      <c r="L7422" s="9"/>
      <c r="M7422" s="9"/>
    </row>
    <row r="7423">
      <c r="J7423" s="9"/>
      <c r="K7423" s="9"/>
      <c r="L7423" s="9"/>
      <c r="M7423" s="9"/>
    </row>
    <row r="7424">
      <c r="J7424" s="9"/>
      <c r="K7424" s="9"/>
      <c r="L7424" s="9"/>
      <c r="M7424" s="9"/>
    </row>
    <row r="7425">
      <c r="J7425" s="9"/>
      <c r="K7425" s="9"/>
      <c r="L7425" s="9"/>
      <c r="M7425" s="9"/>
    </row>
    <row r="7426">
      <c r="J7426" s="9"/>
      <c r="K7426" s="9"/>
      <c r="L7426" s="9"/>
      <c r="M7426" s="9"/>
    </row>
    <row r="7427">
      <c r="J7427" s="9"/>
      <c r="K7427" s="9"/>
      <c r="L7427" s="9"/>
      <c r="M7427" s="9"/>
    </row>
    <row r="7428">
      <c r="J7428" s="9"/>
      <c r="K7428" s="9"/>
      <c r="L7428" s="9"/>
      <c r="M7428" s="9"/>
    </row>
    <row r="7429">
      <c r="J7429" s="9"/>
      <c r="K7429" s="9"/>
      <c r="L7429" s="9"/>
      <c r="M7429" s="9"/>
    </row>
    <row r="7430">
      <c r="J7430" s="9"/>
      <c r="K7430" s="9"/>
      <c r="L7430" s="9"/>
      <c r="M7430" s="9"/>
    </row>
    <row r="7431">
      <c r="J7431" s="9"/>
      <c r="K7431" s="9"/>
      <c r="L7431" s="9"/>
      <c r="M7431" s="9"/>
    </row>
    <row r="7432">
      <c r="J7432" s="9"/>
      <c r="K7432" s="9"/>
      <c r="L7432" s="9"/>
      <c r="M7432" s="9"/>
    </row>
    <row r="7433">
      <c r="J7433" s="9"/>
      <c r="K7433" s="9"/>
      <c r="L7433" s="9"/>
      <c r="M7433" s="9"/>
    </row>
    <row r="7434">
      <c r="J7434" s="9"/>
      <c r="K7434" s="9"/>
      <c r="L7434" s="9"/>
      <c r="M7434" s="9"/>
    </row>
    <row r="7435">
      <c r="J7435" s="9"/>
      <c r="K7435" s="9"/>
      <c r="L7435" s="9"/>
      <c r="M7435" s="9"/>
    </row>
    <row r="7436">
      <c r="J7436" s="9"/>
      <c r="K7436" s="9"/>
      <c r="L7436" s="9"/>
      <c r="M7436" s="9"/>
    </row>
    <row r="7437">
      <c r="J7437" s="9"/>
      <c r="K7437" s="9"/>
      <c r="L7437" s="9"/>
      <c r="M7437" s="9"/>
    </row>
    <row r="7438">
      <c r="J7438" s="9"/>
      <c r="K7438" s="9"/>
      <c r="L7438" s="9"/>
      <c r="M7438" s="9"/>
    </row>
    <row r="7439">
      <c r="J7439" s="9"/>
      <c r="K7439" s="9"/>
      <c r="L7439" s="9"/>
      <c r="M7439" s="9"/>
    </row>
    <row r="7440">
      <c r="J7440" s="9"/>
      <c r="K7440" s="9"/>
      <c r="L7440" s="9"/>
      <c r="M7440" s="9"/>
    </row>
    <row r="7441">
      <c r="J7441" s="9"/>
      <c r="K7441" s="9"/>
      <c r="L7441" s="9"/>
      <c r="M7441" s="9"/>
    </row>
    <row r="7442">
      <c r="J7442" s="9"/>
      <c r="K7442" s="9"/>
      <c r="L7442" s="9"/>
      <c r="M7442" s="9"/>
    </row>
    <row r="7443">
      <c r="J7443" s="9"/>
      <c r="K7443" s="9"/>
      <c r="L7443" s="9"/>
      <c r="M7443" s="9"/>
    </row>
    <row r="7444">
      <c r="J7444" s="9"/>
      <c r="K7444" s="9"/>
      <c r="L7444" s="9"/>
      <c r="M7444" s="9"/>
    </row>
    <row r="7445">
      <c r="J7445" s="9"/>
      <c r="K7445" s="9"/>
      <c r="L7445" s="9"/>
      <c r="M7445" s="9"/>
    </row>
    <row r="7446">
      <c r="J7446" s="9"/>
      <c r="K7446" s="9"/>
      <c r="L7446" s="9"/>
      <c r="M7446" s="9"/>
    </row>
    <row r="7447">
      <c r="J7447" s="9"/>
      <c r="K7447" s="9"/>
      <c r="L7447" s="9"/>
      <c r="M7447" s="9"/>
    </row>
    <row r="7448">
      <c r="J7448" s="9"/>
      <c r="K7448" s="9"/>
      <c r="L7448" s="9"/>
      <c r="M7448" s="9"/>
    </row>
    <row r="7449">
      <c r="J7449" s="9"/>
      <c r="K7449" s="9"/>
      <c r="L7449" s="9"/>
      <c r="M7449" s="9"/>
    </row>
    <row r="7450">
      <c r="J7450" s="9"/>
      <c r="K7450" s="9"/>
      <c r="L7450" s="9"/>
      <c r="M7450" s="9"/>
    </row>
    <row r="7451">
      <c r="J7451" s="9"/>
      <c r="K7451" s="9"/>
      <c r="L7451" s="9"/>
      <c r="M7451" s="9"/>
    </row>
    <row r="7452">
      <c r="J7452" s="9"/>
      <c r="K7452" s="9"/>
      <c r="L7452" s="9"/>
      <c r="M7452" s="9"/>
    </row>
    <row r="7453">
      <c r="J7453" s="9"/>
      <c r="K7453" s="9"/>
      <c r="L7453" s="9"/>
      <c r="M7453" s="9"/>
    </row>
    <row r="7454">
      <c r="J7454" s="9"/>
      <c r="K7454" s="9"/>
      <c r="L7454" s="9"/>
      <c r="M7454" s="9"/>
    </row>
    <row r="7455">
      <c r="J7455" s="9"/>
      <c r="K7455" s="9"/>
      <c r="L7455" s="9"/>
      <c r="M7455" s="9"/>
    </row>
    <row r="7456">
      <c r="J7456" s="9"/>
      <c r="K7456" s="9"/>
      <c r="L7456" s="9"/>
      <c r="M7456" s="9"/>
    </row>
    <row r="7457">
      <c r="J7457" s="9"/>
      <c r="K7457" s="9"/>
      <c r="L7457" s="9"/>
      <c r="M7457" s="9"/>
    </row>
    <row r="7458">
      <c r="J7458" s="9"/>
      <c r="K7458" s="9"/>
      <c r="L7458" s="9"/>
      <c r="M7458" s="9"/>
    </row>
    <row r="7459">
      <c r="J7459" s="9"/>
      <c r="K7459" s="9"/>
      <c r="L7459" s="9"/>
      <c r="M7459" s="9"/>
    </row>
    <row r="7460">
      <c r="J7460" s="9"/>
      <c r="K7460" s="9"/>
      <c r="L7460" s="9"/>
      <c r="M7460" s="9"/>
    </row>
    <row r="7461">
      <c r="J7461" s="9"/>
      <c r="K7461" s="9"/>
      <c r="L7461" s="9"/>
      <c r="M7461" s="9"/>
    </row>
    <row r="7462">
      <c r="J7462" s="9"/>
      <c r="K7462" s="9"/>
      <c r="L7462" s="9"/>
      <c r="M7462" s="9"/>
    </row>
    <row r="7463">
      <c r="J7463" s="9"/>
      <c r="K7463" s="9"/>
      <c r="L7463" s="9"/>
      <c r="M7463" s="9"/>
    </row>
    <row r="7464">
      <c r="J7464" s="9"/>
      <c r="K7464" s="9"/>
      <c r="L7464" s="9"/>
      <c r="M7464" s="9"/>
    </row>
    <row r="7465">
      <c r="J7465" s="9"/>
      <c r="K7465" s="9"/>
      <c r="L7465" s="9"/>
      <c r="M7465" s="9"/>
    </row>
    <row r="7466">
      <c r="J7466" s="9"/>
      <c r="K7466" s="9"/>
      <c r="L7466" s="9"/>
      <c r="M7466" s="9"/>
    </row>
    <row r="7467">
      <c r="J7467" s="9"/>
      <c r="K7467" s="9"/>
      <c r="L7467" s="9"/>
      <c r="M7467" s="9"/>
    </row>
    <row r="7468">
      <c r="J7468" s="9"/>
      <c r="K7468" s="9"/>
      <c r="L7468" s="9"/>
      <c r="M7468" s="9"/>
    </row>
    <row r="7469">
      <c r="J7469" s="9"/>
      <c r="K7469" s="9"/>
      <c r="L7469" s="9"/>
      <c r="M7469" s="9"/>
    </row>
    <row r="7470">
      <c r="J7470" s="9"/>
      <c r="K7470" s="9"/>
      <c r="L7470" s="9"/>
      <c r="M7470" s="9"/>
    </row>
    <row r="7471">
      <c r="J7471" s="9"/>
      <c r="K7471" s="9"/>
      <c r="L7471" s="9"/>
      <c r="M7471" s="9"/>
    </row>
    <row r="7472">
      <c r="J7472" s="9"/>
      <c r="K7472" s="9"/>
      <c r="L7472" s="9"/>
      <c r="M7472" s="9"/>
    </row>
    <row r="7473">
      <c r="J7473" s="9"/>
      <c r="K7473" s="9"/>
      <c r="L7473" s="9"/>
      <c r="M7473" s="9"/>
    </row>
    <row r="7474">
      <c r="J7474" s="9"/>
      <c r="K7474" s="9"/>
      <c r="L7474" s="9"/>
      <c r="M7474" s="9"/>
    </row>
    <row r="7475">
      <c r="J7475" s="9"/>
      <c r="K7475" s="9"/>
      <c r="L7475" s="9"/>
      <c r="M7475" s="9"/>
    </row>
    <row r="7476">
      <c r="J7476" s="9"/>
      <c r="K7476" s="9"/>
      <c r="L7476" s="9"/>
      <c r="M7476" s="9"/>
    </row>
    <row r="7477">
      <c r="J7477" s="9"/>
      <c r="K7477" s="9"/>
      <c r="L7477" s="9"/>
      <c r="M7477" s="9"/>
    </row>
    <row r="7478">
      <c r="J7478" s="9"/>
      <c r="K7478" s="9"/>
      <c r="L7478" s="9"/>
      <c r="M7478" s="9"/>
    </row>
    <row r="7479">
      <c r="J7479" s="9"/>
      <c r="K7479" s="9"/>
      <c r="L7479" s="9"/>
      <c r="M7479" s="9"/>
    </row>
    <row r="7480">
      <c r="J7480" s="9"/>
      <c r="K7480" s="9"/>
      <c r="L7480" s="9"/>
      <c r="M7480" s="9"/>
    </row>
    <row r="7481">
      <c r="J7481" s="9"/>
      <c r="K7481" s="9"/>
      <c r="L7481" s="9"/>
      <c r="M7481" s="9"/>
    </row>
    <row r="7482">
      <c r="J7482" s="9"/>
      <c r="K7482" s="9"/>
      <c r="L7482" s="9"/>
      <c r="M7482" s="9"/>
    </row>
    <row r="7483">
      <c r="J7483" s="9"/>
      <c r="K7483" s="9"/>
      <c r="L7483" s="9"/>
      <c r="M7483" s="9"/>
    </row>
    <row r="7484">
      <c r="J7484" s="9"/>
      <c r="K7484" s="9"/>
      <c r="L7484" s="9"/>
      <c r="M7484" s="9"/>
    </row>
    <row r="7485">
      <c r="J7485" s="9"/>
      <c r="K7485" s="9"/>
      <c r="L7485" s="9"/>
      <c r="M7485" s="9"/>
    </row>
    <row r="7486">
      <c r="J7486" s="9"/>
      <c r="K7486" s="9"/>
      <c r="L7486" s="9"/>
      <c r="M7486" s="9"/>
    </row>
    <row r="7487">
      <c r="J7487" s="9"/>
      <c r="K7487" s="9"/>
      <c r="L7487" s="9"/>
      <c r="M7487" s="9"/>
    </row>
    <row r="7488">
      <c r="J7488" s="9"/>
      <c r="K7488" s="9"/>
      <c r="L7488" s="9"/>
      <c r="M7488" s="9"/>
    </row>
    <row r="7489">
      <c r="J7489" s="9"/>
      <c r="K7489" s="9"/>
      <c r="L7489" s="9"/>
      <c r="M7489" s="9"/>
    </row>
    <row r="7490">
      <c r="J7490" s="9"/>
      <c r="K7490" s="9"/>
      <c r="L7490" s="9"/>
      <c r="M7490" s="9"/>
    </row>
    <row r="7491">
      <c r="J7491" s="9"/>
      <c r="K7491" s="9"/>
      <c r="L7491" s="9"/>
      <c r="M7491" s="9"/>
    </row>
    <row r="7492">
      <c r="J7492" s="9"/>
      <c r="K7492" s="9"/>
      <c r="L7492" s="9"/>
      <c r="M7492" s="9"/>
    </row>
    <row r="7493">
      <c r="J7493" s="9"/>
      <c r="K7493" s="9"/>
      <c r="L7493" s="9"/>
      <c r="M7493" s="9"/>
    </row>
    <row r="7494">
      <c r="J7494" s="9"/>
      <c r="K7494" s="9"/>
      <c r="L7494" s="9"/>
      <c r="M7494" s="9"/>
    </row>
    <row r="7495">
      <c r="J7495" s="9"/>
      <c r="K7495" s="9"/>
      <c r="L7495" s="9"/>
      <c r="M7495" s="9"/>
    </row>
    <row r="7496">
      <c r="J7496" s="9"/>
      <c r="K7496" s="9"/>
      <c r="L7496" s="9"/>
      <c r="M7496" s="9"/>
    </row>
    <row r="7497">
      <c r="J7497" s="9"/>
      <c r="K7497" s="9"/>
      <c r="L7497" s="9"/>
      <c r="M7497" s="9"/>
    </row>
    <row r="7498">
      <c r="J7498" s="9"/>
      <c r="K7498" s="9"/>
      <c r="L7498" s="9"/>
      <c r="M7498" s="9"/>
    </row>
    <row r="7499">
      <c r="J7499" s="9"/>
      <c r="K7499" s="9"/>
      <c r="L7499" s="9"/>
      <c r="M7499" s="9"/>
    </row>
    <row r="7500">
      <c r="J7500" s="9"/>
      <c r="K7500" s="9"/>
      <c r="L7500" s="9"/>
      <c r="M7500" s="9"/>
    </row>
    <row r="7501">
      <c r="J7501" s="9"/>
      <c r="K7501" s="9"/>
      <c r="L7501" s="9"/>
      <c r="M7501" s="9"/>
    </row>
    <row r="7502">
      <c r="J7502" s="9"/>
      <c r="K7502" s="9"/>
      <c r="L7502" s="9"/>
      <c r="M7502" s="9"/>
    </row>
    <row r="7503">
      <c r="J7503" s="9"/>
      <c r="K7503" s="9"/>
      <c r="L7503" s="9"/>
      <c r="M7503" s="9"/>
    </row>
    <row r="7504">
      <c r="J7504" s="9"/>
      <c r="K7504" s="9"/>
      <c r="L7504" s="9"/>
      <c r="M7504" s="9"/>
    </row>
    <row r="7505">
      <c r="J7505" s="9"/>
      <c r="K7505" s="9"/>
      <c r="L7505" s="9"/>
      <c r="M7505" s="9"/>
    </row>
    <row r="7506">
      <c r="J7506" s="9"/>
      <c r="K7506" s="9"/>
      <c r="L7506" s="9"/>
      <c r="M7506" s="9"/>
    </row>
    <row r="7507">
      <c r="J7507" s="9"/>
      <c r="K7507" s="9"/>
      <c r="L7507" s="9"/>
      <c r="M7507" s="9"/>
    </row>
    <row r="7508">
      <c r="J7508" s="9"/>
      <c r="K7508" s="9"/>
      <c r="L7508" s="9"/>
      <c r="M7508" s="9"/>
    </row>
    <row r="7509">
      <c r="J7509" s="9"/>
      <c r="K7509" s="9"/>
      <c r="L7509" s="9"/>
      <c r="M7509" s="9"/>
    </row>
    <row r="7510">
      <c r="J7510" s="9"/>
      <c r="K7510" s="9"/>
      <c r="L7510" s="9"/>
      <c r="M7510" s="9"/>
    </row>
    <row r="7511">
      <c r="J7511" s="9"/>
      <c r="K7511" s="9"/>
      <c r="L7511" s="9"/>
      <c r="M7511" s="9"/>
    </row>
    <row r="7512">
      <c r="J7512" s="9"/>
      <c r="K7512" s="9"/>
      <c r="L7512" s="9"/>
      <c r="M7512" s="9"/>
    </row>
    <row r="7513">
      <c r="J7513" s="9"/>
      <c r="K7513" s="9"/>
      <c r="L7513" s="9"/>
      <c r="M7513" s="9"/>
    </row>
    <row r="7514">
      <c r="J7514" s="9"/>
      <c r="K7514" s="9"/>
      <c r="L7514" s="9"/>
      <c r="M7514" s="9"/>
    </row>
    <row r="7515">
      <c r="J7515" s="9"/>
      <c r="K7515" s="9"/>
      <c r="L7515" s="9"/>
      <c r="M7515" s="9"/>
    </row>
    <row r="7516">
      <c r="J7516" s="9"/>
      <c r="K7516" s="9"/>
      <c r="L7516" s="9"/>
      <c r="M7516" s="9"/>
    </row>
    <row r="7517">
      <c r="J7517" s="9"/>
      <c r="K7517" s="9"/>
      <c r="L7517" s="9"/>
      <c r="M7517" s="9"/>
    </row>
    <row r="7518">
      <c r="J7518" s="9"/>
      <c r="K7518" s="9"/>
      <c r="L7518" s="9"/>
      <c r="M7518" s="9"/>
    </row>
    <row r="7519">
      <c r="J7519" s="9"/>
      <c r="K7519" s="9"/>
      <c r="L7519" s="9"/>
      <c r="M7519" s="9"/>
    </row>
    <row r="7520">
      <c r="J7520" s="9"/>
      <c r="K7520" s="9"/>
      <c r="L7520" s="9"/>
      <c r="M7520" s="9"/>
    </row>
    <row r="7521">
      <c r="J7521" s="9"/>
      <c r="K7521" s="9"/>
      <c r="L7521" s="9"/>
      <c r="M7521" s="9"/>
    </row>
    <row r="7522">
      <c r="J7522" s="9"/>
      <c r="K7522" s="9"/>
      <c r="L7522" s="9"/>
      <c r="M7522" s="9"/>
    </row>
  </sheetData>
  <drawing r:id="rId1"/>
</worksheet>
</file>